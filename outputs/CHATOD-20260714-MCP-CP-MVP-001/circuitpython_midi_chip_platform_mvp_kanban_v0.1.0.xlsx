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0183d28f3445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a2e158f025a4348"/>
    <x:sheet xmlns:r="http://schemas.openxmlformats.org/officeDocument/2006/relationships" name="Backlog" sheetId="2" r:id="R1add1eddce294695"/>
    <x:sheet xmlns:r="http://schemas.openxmlformats.org/officeDocument/2006/relationships" name="Epics" sheetId="3" r:id="Rcdd2e6360e1545b9"/>
    <x:sheet xmlns:r="http://schemas.openxmlformats.org/officeDocument/2006/relationships" name="Risks" sheetId="4" r:id="R365eada3671c465b"/>
    <x:sheet xmlns:r="http://schemas.openxmlformats.org/officeDocument/2006/relationships" name="Team RACI" sheetId="5" r:id="R3227d4e4ff7d4b32"/>
    <x:sheet xmlns:r="http://schemas.openxmlformats.org/officeDocument/2006/relationships" name="Sources" sheetId="6" r:id="Rd36d7f6ccf1147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27e8e5d65a4478" /><Relationship Type="http://schemas.openxmlformats.org/officeDocument/2006/relationships/theme" Target="/xl/theme/theme1.xml" Id="R23b23239184e436a" /><Relationship Type="http://schemas.openxmlformats.org/officeDocument/2006/relationships/sharedStrings" Target="/xl/sharedStrings.xml" Id="R2b5669be8d9e4d44" /><Relationship Type="http://schemas.openxmlformats.org/officeDocument/2006/relationships/worksheet" Target="/xl/worksheets/sheet1.xml" Id="Rba2e158f025a4348" /><Relationship Type="http://schemas.openxmlformats.org/officeDocument/2006/relationships/worksheet" Target="/xl/worksheets/sheet2.xml" Id="R1add1eddce294695" /><Relationship Type="http://schemas.openxmlformats.org/officeDocument/2006/relationships/worksheet" Target="/xl/worksheets/sheet3.xml" Id="Rcdd2e6360e1545b9" /><Relationship Type="http://schemas.openxmlformats.org/officeDocument/2006/relationships/worksheet" Target="/xl/worksheets/sheet4.xml" Id="R365eada3671c465b" /><Relationship Type="http://schemas.openxmlformats.org/officeDocument/2006/relationships/worksheet" Target="/xl/worksheets/sheet5.xml" Id="R3227d4e4ff7d4b32" /><Relationship Type="http://schemas.openxmlformats.org/officeDocument/2006/relationships/worksheet" Target="/xl/worksheets/sheet6.xml" Id="Rd36d7f6ccf1147d7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d845a9ed4da47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80077e0b2c40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a474dab399142b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052d15838a646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c9e9a3e26fd4e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v0.27.0 | runtime v0.16.0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v>76</x:v>
      </x:c>
      <x:c r="C5" s="85"/>
      <x:c r="D5" s="110" t="str">
        <x:v>1. US-075 PO-uitzondering aanvaar; geen produksie-veiligheidsclaim</x:v>
      </x:c>
      <x:c r="E5" s="110"/>
      <x:c r="F5" s="110"/>
      <x:c r="G5" s="110"/>
      <x:c r="H5" s="110"/>
    </x:row>
    <x:row r="6">
      <x:c r="A6" s="111" t="str">
        <x:v>Done</x:v>
      </x:c>
      <x:c r="B6" s="114" t="n">
        <x:v>17</x:v>
      </x:c>
      <x:c r="C6" s="85"/>
      <x:c r="D6" s="111" t="str">
        <x:v>2. Direkte TRS-koptelefoon bly prototipe-risiko; US-076 parkeer cleanup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v>0</x:v>
      </x:c>
      <x:c r="C7" s="85"/>
      <x:c r="D7" s="111" t="str">
        <x:v>3. US-055: Logic USB-MIDI -&gt; D1-kern -&gt; I2S is volgende MVP-integrasie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v>17</x:v>
      </x:c>
      <x:c r="C8" s="85"/>
      <x:c r="D8" s="112" t="str">
        <x:v>4. US-057 volg na US-055 vir end-to-end MVP burn-in/acceptance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/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120 tests GREEN | US-075 DONE WITH PO EXCEPTION | US-055 NEXT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v0.27.0 | 76 stories | 17-story veiligheidsaangepaste MVP Acceptance Set + US-076 post-MVP cleanup</x:v>
      </x:c>
      <x:c r="B2"/>
      <x:c r="C2"/>
      <x:c r="D2"/>
      <x:c r="E2"/>
      <x:c r="F2"/>
      <x:c r="G2"/>
      <x:c r="H2"/>
      <x:c r="I2"/>
      <x:c r="J2"/>
      <x:c r="K2"/>
      <x:c r="L2"/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Power, Safe Volume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MCP-US-021, MCP-US-075</x:v>
      </x:c>
      <x:c r="K51" s="24" t="str">
        <x:v>Power, speaker/headphone/line-out boundaries, gain or attenuation, mute, filtering, ESD and polarity protection are breadboarded and measured at documented safe test points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Pedal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Hardware Engineer and experienced KiCad Product Owner deliver schematic, PCB, footprints, test points and BOM; ERC, DRC, bring-up and manufacturing outputs pass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MCP-US-003, MCP-US-007, MCP-US-009, MCP-US-014, MCP-US-016, MCP-US-063, MCP-US-075</x:v>
      </x:c>
      <x:c r="K59" s="24" t="str">
        <x:v>Logic selects the board as External MIDI destination and the user hears D1 through the approved safe output profile; the board then passes the 8-hour USB MIDI, audio and 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US-063, US-075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Done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Product Owner accepted v0.15.0 d1-diagnose: sine, saw and square, A4=440Hz, velocity and final PASS; audible Logic/I2S remains US-055 after US-075</x:v>
      </x:c>
      <x:c r="L67" s="83" t="str">
        <x:v>CHATOD-20260714-MCP-CP-MVP-001 / MCP-US-063-HOST-ACCEPTED-001 / v0.15.0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  <x:row r="79">
      <x:c r="A79" t="str">
        <x:v>MCP-US-075</x:v>
      </x:c>
      <x:c r="B79" t="str">
        <x:v>MCP-EPIC-007</x:v>
      </x:c>
      <x:c r="C79" t="str">
        <x:v>Safe Development Audio Load And Volume Gate</x:v>
      </x:c>
      <x:c r="D79" t="str">
        <x:v>Hardware/DSP</x:v>
      </x:c>
      <x:c r="E79" t="str">
        <x:v>Must</x:v>
      </x:c>
      <x:c r="F79" t="str">
        <x:v>Done</x:v>
      </x:c>
      <x:c r="G79" t="str">
        <x:v>Sprint 3</x:v>
      </x:c>
      <x:c r="H79" t="str">
        <x:v>MVP-Enabler (Done; PO exception)</x:v>
      </x:c>
      <x:c r="I79" t="n">
        <x:v>5</x:v>
      </x:c>
      <x:c r="J79" t="str">
        <x:v>US-016</x:v>
      </x:c>
      <x:c r="K79" t="str">
        <x:v>HIL: G-C-D hoorbaar via MAX98357A; PO aanvaar cheap TRS-headphone prototype risk; no production safety claim</x:v>
      </x:c>
      <x:c r="L79" t="str">
        <x:v>CHATOD-20260714-MCP-CP-MVP-001 / MCP-US-075-PO-EXCEPTION-ACCEPTED</x:v>
      </x:c>
    </x:row>
    <x:row r="80">
      <x:c r="A80" t="str">
        <x:v>MCP-US-076</x:v>
      </x:c>
      <x:c r="B80" t="str">
        <x:v>MCP-EPIC-007</x:v>
      </x:c>
      <x:c r="C80" t="str">
        <x:v>Certified Speaker, Headphone And Pedal Output Cleanup</x:v>
      </x:c>
      <x:c r="D80" t="str">
        <x:v>Hardware/DSP</x:v>
      </x:c>
      <x:c r="E80" t="str">
        <x:v>Should</x:v>
      </x:c>
      <x:c r="F80" t="str">
        <x:v>Backlog</x:v>
      </x:c>
      <x:c r="G80" t="str">
        <x:v>Post-MVP</x:v>
      </x:c>
      <x:c r="H80" t="str">
        <x:v>Later</x:v>
      </x:c>
      <x:c r="I80" t="n">
        <x:v>8</x:v>
      </x:c>
      <x:c r="J80" t="str">
        <x:v>US-047, US-075</x:v>
      </x:c>
      <x:c r="K80" t="str">
        <x:v>Gescheiden speaker/headphone/line-out ontwerp, load profiles, volume hardware en KiCad guidance zijn gevalideerd</x:v>
      </x:c>
      <x:c r="L80" t="str">
        <x:v>CHATOD-20260714-MCP-CP-MVP-001 / MCP-US-075-PO-EXCEPTION-ACCEPTED / MCP-US-076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845a9ed4da47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3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v>8</x:v>
      </x:c>
      <x:c r="D11" s="65" t="n">
        <x:v>4</x:v>
      </x:c>
      <x:c r="E11" s="65" t="n">
        <x:f>COUNTIFS('Backlog'!$B$5:$B$200,A11,'Backlog'!$F$5:$F$200,"Done")</x:f>
        <x:v>1</x:v>
      </x:c>
      <x:c r="F11" s="24" t="str">
        <x:v>Safe audio load and volume gate first; pedal power, protection, enclosure and KiCad hardware follow after MVP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080077e0b2c409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Directe TRS/headphone of verkeerde load kan MAX98357A, koptelefoon of gehoor beschadigen</x:v>
      </x:c>
      <x:c r="C17" s="24" t="str">
        <x:v>Hoog</x:v>
      </x:c>
      <x:c r="D17" s="24" t="str">
        <x:v>Middel</x:v>
      </x:c>
      <x:c r="E17" s="24" t="str">
        <x:v>US-075 begrenst amplitude/software-startup; PO accepteert prototype met goedkope TRS-koptelefoon. Productieclaim blijft verboden tot US-076.</x:v>
      </x:c>
      <x:c r="F17" s="24" t="str">
        <x:v>Aanvaard voor prototype; US-076 cleanup</x:v>
      </x:c>
      <x:c r="G17" s="24" t="str">
        <x:v>CHATOD-20260714-MCP-CP-MVP-001 / MCP-US-075-PO-EXCEPTION-ACCEPTED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474dab399142b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7052d15838a6460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  <x:row r="37">
      <x:c r="A37" t="str">
        <x:v>2026-07-16</x:v>
      </x:c>
      <x:c r="B37" t="str">
        <x:v>PO exception / HIL evidence</x:v>
      </x:c>
      <x:c r="C37" t="str">
        <x:v>US-075 hoorbare G-C-D via MAX98357A met goedkope TRS-koptelefoon; risico bewust geaccepteerd</x:v>
      </x:c>
      <x:c r="D37" t="str">
        <x:v>CHATOD-20260714-MCP-CP-MVP-001 / MCP-US-075-HIL-SOFTWARE-PASS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c9e9a3e26fd4e02"/>
  </x:tableParts>
</x:worksheet>
</file>
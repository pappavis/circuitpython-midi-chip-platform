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e99e3ab9a745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d35e002868d47cd"/>
    <x:sheet xmlns:r="http://schemas.openxmlformats.org/officeDocument/2006/relationships" name="Backlog" sheetId="2" r:id="Rf34e61054ef14a33"/>
    <x:sheet xmlns:r="http://schemas.openxmlformats.org/officeDocument/2006/relationships" name="Epics" sheetId="3" r:id="Rc0f371a6e07943e9"/>
    <x:sheet xmlns:r="http://schemas.openxmlformats.org/officeDocument/2006/relationships" name="Risks" sheetId="4" r:id="R1d263501791f479f"/>
    <x:sheet xmlns:r="http://schemas.openxmlformats.org/officeDocument/2006/relationships" name="Team RACI" sheetId="5" r:id="R7094a3da1d0c4ed6"/>
    <x:sheet xmlns:r="http://schemas.openxmlformats.org/officeDocument/2006/relationships" name="Sources" sheetId="6" r:id="Rdcc1eca3050c46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8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d498cca415478e" /><Relationship Type="http://schemas.openxmlformats.org/officeDocument/2006/relationships/theme" Target="/xl/theme/theme1.xml" Id="R682275e181514996" /><Relationship Type="http://schemas.openxmlformats.org/officeDocument/2006/relationships/sharedStrings" Target="/xl/sharedStrings.xml" Id="Reda588756ae74072" /><Relationship Type="http://schemas.openxmlformats.org/officeDocument/2006/relationships/worksheet" Target="/xl/worksheets/sheet1.xml" Id="R2d35e002868d47cd" /><Relationship Type="http://schemas.openxmlformats.org/officeDocument/2006/relationships/worksheet" Target="/xl/worksheets/sheet2.xml" Id="Rf34e61054ef14a33" /><Relationship Type="http://schemas.openxmlformats.org/officeDocument/2006/relationships/worksheet" Target="/xl/worksheets/sheet3.xml" Id="Rc0f371a6e07943e9" /><Relationship Type="http://schemas.openxmlformats.org/officeDocument/2006/relationships/worksheet" Target="/xl/worksheets/sheet4.xml" Id="R1d263501791f479f" /><Relationship Type="http://schemas.openxmlformats.org/officeDocument/2006/relationships/worksheet" Target="/xl/worksheets/sheet5.xml" Id="R7094a3da1d0c4ed6" /><Relationship Type="http://schemas.openxmlformats.org/officeDocument/2006/relationships/worksheet" Target="/xl/worksheets/sheet6.xml" Id="Rdcc1eca3050c46e3" /></Relationships>
</file>

<file path=xl/tables/table1.xml><?xml version="1.0" encoding="utf-8"?>
<x:table xmlns:x="http://schemas.openxmlformats.org/spreadsheetml/2006/main" id="1" name="BacklogTable" displayName="BacklogTable" ref="A4:L63" headerRowCount="1" totalsRowCount="0" totalsRowShown="0">
  <x:autoFilter ref="A4:L63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2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5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17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072c94199a14f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178c6a43a2b4d0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1ccb7d78b6445d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b0eb2b4c4c3459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b3b371d215e45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50" t="str">
        <x:v>MIDI Chip Platform - MVP Kanban</x:v>
      </x:c>
      <x:c r="B1" s="51"/>
      <x:c r="C1" s="51"/>
      <x:c r="D1" s="51"/>
      <x:c r="E1" s="51"/>
      <x:c r="F1" s="51"/>
      <x:c r="G1" s="51"/>
      <x:c r="H1" s="51"/>
    </x:row>
    <x:row r="2" ht="28" customHeight="1">
      <x:c r="A2" s="52" t="str">
        <x:v>Sprint 0 amendment | v0.1.1 | CHATOD-20260714-MCP-CP-MVP-001</x:v>
      </x:c>
      <x:c r="B2" s="51"/>
      <x:c r="C2" s="51"/>
      <x:c r="D2" s="51"/>
      <x:c r="E2" s="51"/>
      <x:c r="F2" s="51"/>
      <x:c r="G2" s="51"/>
      <x:c r="H2" s="51"/>
    </x:row>
    <x:row r="3">
      <x:c r="A3" s="51"/>
      <x:c r="B3" s="51"/>
      <x:c r="C3" s="51"/>
      <x:c r="D3" s="51"/>
      <x:c r="E3" s="51"/>
      <x:c r="F3" s="51"/>
      <x:c r="G3" s="51"/>
      <x:c r="H3" s="51"/>
    </x:row>
    <x:row r="4" ht="28" customHeight="1">
      <x:c r="A4" s="53" t="str">
        <x:v>Metriek</x:v>
      </x:c>
      <x:c r="B4" s="54" t="str">
        <x:v>Waarde</x:v>
      </x:c>
      <x:c r="C4" s="51"/>
      <x:c r="D4" s="53" t="str">
        <x:v>MVP-besluithekke</x:v>
      </x:c>
      <x:c r="E4" s="55"/>
      <x:c r="F4" s="55"/>
      <x:c r="G4" s="55"/>
      <x:c r="H4" s="54"/>
    </x:row>
    <x:row r="5">
      <x:c r="A5" s="56" t="str">
        <x:v>Totale stories</x:v>
      </x:c>
      <x:c r="B5" s="57" t="n">
        <x:f>COUNTA('Backlog'!$A$5:$A$63)</x:f>
        <x:v>59</x:v>
      </x:c>
      <x:c r="C5" s="51"/>
      <x:c r="D5" s="56" t="str">
        <x:v>1. Veilige minimale USB-MIDI boot</x:v>
      </x:c>
      <x:c r="E5" s="56"/>
      <x:c r="F5" s="56"/>
      <x:c r="G5" s="56"/>
      <x:c r="H5" s="56"/>
    </x:row>
    <x:row r="6">
      <x:c r="A6" s="58" t="str">
        <x:v>Done</x:v>
      </x:c>
      <x:c r="B6" s="59" t="n">
        <x:f>COUNTIF('Backlog'!$F$5:$F$63,"Done")</x:f>
        <x:v>2</x:v>
      </x:c>
      <x:c r="C6" s="51"/>
      <x:c r="D6" s="58" t="str">
        <x:v>2. MAX98357 mono-I2S eerste; PWM fallback</x:v>
      </x:c>
      <x:c r="E6" s="58"/>
      <x:c r="F6" s="58"/>
      <x:c r="G6" s="58"/>
      <x:c r="H6" s="58"/>
    </x:row>
    <x:row r="7">
      <x:c r="A7" s="58" t="str">
        <x:v>Ready</x:v>
      </x:c>
      <x:c r="B7" s="59" t="n">
        <x:f>COUNTIF('Backlog'!$F$5:$F$63,"Ready")</x:f>
        <x:v>1</x:v>
      </x:c>
      <x:c r="C7" s="51"/>
      <x:c r="D7" s="58" t="str">
        <x:v>3. Webpolling mag nie MIDI/klank destabiliseer nie</x:v>
      </x:c>
      <x:c r="E7" s="58"/>
      <x:c r="F7" s="58"/>
      <x:c r="G7" s="58"/>
      <x:c r="H7" s="58"/>
    </x:row>
    <x:row r="8">
      <x:c r="A8" s="58" t="str">
        <x:v>MVP-gemerk</x:v>
      </x:c>
      <x:c r="B8" s="59" t="n">
        <x:f>COUNTIF('Backlog'!$E$5:$E$63,"Must")</x:f>
        <x:v>38</x:v>
      </x:c>
      <x:c r="C8" s="51"/>
      <x:c r="D8" s="60" t="str">
        <x:v>4. Tweede kern eers ná SN76489 en poortkontrakte</x:v>
      </x:c>
      <x:c r="E8" s="60"/>
      <x:c r="F8" s="60"/>
      <x:c r="G8" s="60"/>
      <x:c r="H8" s="60"/>
    </x:row>
    <x:row r="9">
      <x:c r="A9" s="58" t="str">
        <x:v>Oop risiko’s</x:v>
      </x:c>
      <x:c r="B9" s="59" t="n">
        <x:f>COUNTIF('Risks'!$G$5:$G$23,"&lt;&gt;Closed")</x:f>
        <x:v>19</x:v>
      </x:c>
      <x:c r="C9" s="51"/>
      <x:c r="D9" s="51"/>
      <x:c r="E9" s="51"/>
      <x:c r="F9" s="51"/>
      <x:c r="G9" s="51"/>
      <x:c r="H9" s="51"/>
    </x:row>
    <x:row r="10">
      <x:c r="A10" s="60" t="str">
        <x:v>Virtuele rolle</x:v>
      </x:c>
      <x:c r="B10" s="61" t="n">
        <x:f>COUNTA('Team RACI'!$A$5:$A$15)</x:f>
        <x:v>11</x:v>
      </x:c>
      <x:c r="C10" s="51"/>
      <x:c r="D10" s="51"/>
      <x:c r="E10" s="51"/>
      <x:c r="F10" s="51"/>
      <x:c r="G10" s="51"/>
      <x:c r="H10" s="51"/>
    </x:row>
    <x:row r="11">
      <x:c r="A11" s="51"/>
      <x:c r="B11" s="51"/>
      <x:c r="C11" s="51"/>
      <x:c r="D11" s="51"/>
      <x:c r="E11" s="51"/>
      <x:c r="F11" s="51"/>
      <x:c r="G11" s="51"/>
      <x:c r="H11" s="51"/>
    </x:row>
    <x:row r="12">
      <x:c r="A12" s="51"/>
      <x:c r="B12" s="51"/>
      <x:c r="C12" s="51"/>
      <x:c r="D12" s="51"/>
      <x:c r="E12" s="51"/>
      <x:c r="F12" s="51"/>
      <x:c r="G12" s="51"/>
      <x:c r="H12" s="51"/>
    </x:row>
    <x:row r="13" ht="30" customHeight="1">
      <x:c r="A13" s="62" t="str">
        <x:v>Volgende story: MCP-US-003 Minimal Safe Boot And USB Profile</x:v>
      </x:c>
      <x:c r="B13" s="51"/>
      <x:c r="C13" s="51"/>
      <x:c r="D13" s="51"/>
      <x:c r="E13" s="51"/>
      <x:c r="F13" s="51"/>
      <x:c r="G13" s="51"/>
      <x:c r="H13" s="51"/>
    </x:row>
    <x:row r="14">
      <x:c r="A14" s="51"/>
      <x:c r="B14" s="51"/>
      <x:c r="C14" s="51"/>
      <x:c r="D14" s="51"/>
      <x:c r="E14" s="51"/>
      <x:c r="F14" s="51"/>
      <x:c r="G14" s="51"/>
      <x:c r="H14" s="51"/>
    </x:row>
    <x:row r="15" ht="58" customHeight="1">
      <x:c r="A15" s="63" t="str">
        <x:v>Product Owner note: hierdie workbook is die redigeerbare Kanban-artefak. Die Markdown story-katalogus bly die leesbare repository-weergawe. Werk begin eers ná story-plan-goedkeuring.</x:v>
      </x:c>
      <x:c r="B15" s="51"/>
      <x:c r="C15" s="51"/>
      <x:c r="D15" s="51"/>
      <x:c r="E15" s="51"/>
      <x:c r="F15" s="51"/>
      <x:c r="G15" s="51"/>
      <x:c r="H15" s="51"/>
    </x:row>
    <x:row r="16">
      <x:c r="A16" s="51"/>
      <x:c r="B16" s="51"/>
      <x:c r="C16" s="51"/>
      <x:c r="D16" s="51"/>
      <x:c r="E16" s="51"/>
      <x:c r="F16" s="51"/>
      <x:c r="G16" s="51"/>
      <x:c r="H16" s="51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| Redigeer Status en Priority via keuselyste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Done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Done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Ready</x:v>
      </x:c>
      <x:c r="G7" s="24" t="str">
        <x:v>Sprint 1</x:v>
      </x:c>
      <x:c r="H7" s="24" t="str">
        <x:v>Next/MVP</x:v>
      </x:c>
      <x:c r="I7" s="65" t="n">
        <x:v>8</x:v>
      </x:c>
      <x:c r="J7" s="24" t="str">
        <x:v>US-002</x:v>
      </x:c>
      <x:c r="K7" s="24" t="str">
        <x:v>USB-MIDI begin vóór runtime; geen netwerk of geheime in `boot.py` nie</x:v>
      </x:c>
      <x:c r="L7" s="24" t="str">
        <x:v>CHATOD-20260714-MCP-CP-MVP-001 / MCP-US-003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Backlog</x:v>
      </x:c>
      <x:c r="G8" s="24" t="str">
        <x:v>Sprint 1</x:v>
      </x:c>
      <x:c r="H8" s="24" t="str">
        <x:v>MVP</x:v>
      </x:c>
      <x:c r="I8" s="65" t="n">
        <x:v>5</x:v>
      </x:c>
      <x:c r="J8" s="24" t="str">
        <x:v>US-002</x:v>
      </x:c>
      <x:c r="K8" s="24" t="str">
        <x:v>Bordprofiel rapporteer penne, modules, geheue en ondersteunde klankbackends</x:v>
      </x:c>
      <x:c r="L8" s="24" t="str">
        <x:v>CHATOD-20260714-MCP-CP-MVP-001 / MCP-US-004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Backlog</x:v>
      </x:c>
      <x:c r="G9" s="24" t="str">
        <x:v>Sprint 1</x:v>
      </x:c>
      <x:c r="H9" s="24" t="str">
        <x:v>MVP</x:v>
      </x:c>
      <x:c r="I9" s="65" t="n">
        <x:v>5</x:v>
      </x:c>
      <x:c r="J9" s="24" t="str">
        <x:v>US-003</x:v>
      </x:c>
      <x:c r="K9" s="24" t="str">
        <x:v>Publieke verstekke en private `settings.toml` werk; geheime-lektoets is groen</x:v>
      </x:c>
      <x:c r="L9" s="24" t="str">
        <x:v>CHATOD-20260714-MCP-CP-MVP-001 / MCP-US-005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Backlog</x:v>
      </x:c>
      <x:c r="G10" s="24" t="str">
        <x:v>Sprint 2</x:v>
      </x:c>
      <x:c r="H10" s="24" t="str">
        <x:v>MVP</x:v>
      </x:c>
      <x:c r="I10" s="65" t="n">
        <x:v>5</x:v>
      </x:c>
      <x:c r="J10" s="24" t="str">
        <x:v>US-002</x:v>
      </x:c>
      <x:c r="K10" s="24" t="str">
        <x:v>Note, CC, bend en klokboodskappe het platform-onafhanklike klasse</x:v>
      </x:c>
      <x:c r="L10" s="24" t="str">
        <x:v>CHATOD-20260714-MCP-CP-MVP-001 / MCP-US-006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Backlog</x:v>
      </x:c>
      <x:c r="G11" s="24" t="str">
        <x:v>Sprint 2</x:v>
      </x:c>
      <x:c r="H11" s="24" t="str">
        <x:v>MVP</x:v>
      </x:c>
      <x:c r="I11" s="65" t="n">
        <x:v>5</x:v>
      </x:c>
      <x:c r="J11" s="24" t="str">
        <x:v>US-003, US-006</x:v>
      </x:c>
      <x:c r="K11" s="24" t="str">
        <x:v>Enige klas-kompatibele USB-MIDI-bron kan Note On/Off stuur</x:v>
      </x:c>
      <x:c r="L11" s="24" t="str">
        <x:v>CHATOD-20260714-MCP-CP-MVP-001 / MCP-US-007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Backlog</x:v>
      </x:c>
      <x:c r="G12" s="24" t="str">
        <x:v>Sprint 2</x:v>
      </x:c>
      <x:c r="H12" s="24" t="str">
        <x:v>MVP</x:v>
      </x:c>
      <x:c r="I12" s="65" t="n">
        <x:v>5</x:v>
      </x:c>
      <x:c r="J12" s="24" t="str">
        <x:v>US-007</x:v>
      </x:c>
      <x:c r="K12" s="24" t="str">
        <x:v>Kanaal 1-16 word konfigureerbaar na ’n kerninstansie gerouteer</x:v>
      </x:c>
      <x:c r="L12" s="24" t="str">
        <x:v>CHATOD-20260714-MCP-CP-MVP-001 / MCP-US-008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Backlog</x:v>
      </x:c>
      <x:c r="G13" s="24" t="str">
        <x:v>Sprint 2</x:v>
      </x:c>
      <x:c r="H13" s="24" t="str">
        <x:v>MVP</x:v>
      </x:c>
      <x:c r="I13" s="65" t="n">
        <x:v>5</x:v>
      </x:c>
      <x:c r="J13" s="24" t="str">
        <x:v>US-007</x:v>
      </x:c>
      <x:c r="K13" s="24" t="str">
        <x:v>Velocity nul sluit note; geen hangende stem ná All Notes Off nie</x:v>
      </x:c>
      <x:c r="L13" s="24" t="str">
        <x:v>CHATOD-20260714-MCP-CP-MVP-001 / MCP-US-009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Backlog</x:v>
      </x:c>
      <x:c r="G14" s="24" t="str">
        <x:v>Sprint 2</x:v>
      </x:c>
      <x:c r="H14" s="24" t="str">
        <x:v>MVP</x:v>
      </x:c>
      <x:c r="I14" s="65" t="n">
        <x:v>5</x:v>
      </x:c>
      <x:c r="J14" s="24" t="str">
        <x:v>US-007</x:v>
      </x:c>
      <x:c r="K14" s="24" t="str">
        <x:v>Bend en vibrato word hoorbaar en diagnosties gemeet</x:v>
      </x:c>
      <x:c r="L14" s="24" t="str">
        <x:v>CHATOD-20260714-MCP-CP-MVP-001 / MCP-US-010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External IO MIDI Transport Spike</x:v>
      </x:c>
      <x:c r="D17" s="24" t="str">
        <x:v>MIDI Engineer</x:v>
      </x:c>
      <x:c r="E17" s="24" t="str">
        <x:v>Should</x:v>
      </x:c>
      <x:c r="F17" s="24" t="str">
        <x:v>Backlog</x:v>
      </x:c>
      <x:c r="G17" s="24" t="str">
        <x:v>Sprint 3</x:v>
      </x:c>
      <x:c r="H17" s="24" t="str">
        <x:v>Later</x:v>
      </x:c>
      <x:c r="I17" s="65" t="n">
        <x:v>3</x:v>
      </x:c>
      <x:c r="J17" s="24" t="str">
        <x:v>US-007</x:v>
      </x:c>
      <x:c r="K17" s="24" t="str">
        <x:v>UART/DIN- of ander IO-adapter word deur dieselfde MIDI-poort geabstraheer</x:v>
      </x:c>
      <x:c r="L17" s="24" t="str">
        <x:v>CHATOD-20260714-MCP-CP-MVP-001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MAX98357 Mono I2S Audible Diagnostic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</x:v>
      </x:c>
      <x:c r="I20" s="65" t="n">
        <x:v>5</x:v>
      </x:c>
      <x:c r="J20" s="24" t="str">
        <x:v>US-004, US-014</x:v>
      </x:c>
      <x:c r="K20" s="24" t="str">
        <x:v>Ondersteuning, penne, DAC, RAM, latensie en kwaliteit is gemeet</x:v>
      </x:c>
      <x:c r="L20" s="24" t="str">
        <x:v>CHATOD-20260714-MCP-CP-MVP-001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MVP</x:v>
      </x:c>
      <x:c r="I21" s="65" t="n">
        <x:v>5</x:v>
      </x:c>
      <x:c r="J21" s="24" t="str">
        <x:v>US-006, US-014</x:v>
      </x:c>
      <x:c r="K21" s="24" t="str">
        <x:v>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MVP</x:v>
      </x:c>
      <x:c r="I24" s="65" t="n">
        <x:v>5</x:v>
      </x:c>
      <x:c r="J24" s="24" t="str">
        <x:v>US-015, US-017</x:v>
      </x:c>
      <x:c r="K24" s="24" t="str">
        <x:v>Opsionele sestiendenootreeks bewys die klankpad by start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Runtime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MVP</x:v>
      </x:c>
      <x:c r="I27" s="65" t="n">
        <x:v>5</x:v>
      </x:c>
      <x:c r="J27" s="24" t="str">
        <x:v>US-005, US-022</x:v>
      </x:c>
      <x:c r="K27" s="24" t="str">
        <x:v>Wi-Fi begin buite boot en gee ’n duidelike offline-modus</x:v>
      </x:c>
      <x:c r="L27" s="24" t="str">
        <x:v>CHATOD-20260714-MCP-CP-MVP-001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MVP</x:v>
      </x:c>
      <x:c r="I28" s="65" t="n">
        <x:v>8</x:v>
      </x:c>
      <x:c r="J28" s="24" t="str">
        <x:v>US-023</x:v>
      </x:c>
      <x:c r="K28" s="24" t="str">
        <x:v>Een plaaslike kliënt kan status lees en veilige parameters verander</x:v>
      </x:c>
      <x:c r="L28" s="24" t="str">
        <x:v>CHATOD-20260714-MCP-CP-MVP-001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MVP</x:v>
      </x:c>
      <x:c r="I31" s="65" t="n">
        <x:v>8</x:v>
      </x:c>
      <x:c r="J31" s="24" t="str">
        <x:v>US-024</x:v>
      </x:c>
      <x:c r="K31" s="24" t="str">
        <x:v>Vertroude-LAN-grens, sessielimiet en herstelpad is getoets</x:v>
      </x:c>
      <x:c r="L31" s="24" t="str">
        <x:v>CHATOD-20260714-MCP-CP-MVP-001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Should</x:v>
      </x:c>
      <x:c r="F39" s="24" t="str">
        <x:v>Backlog</x:v>
      </x:c>
      <x:c r="G39" s="24" t="str">
        <x:v>Post-MVP</x:v>
      </x:c>
      <x:c r="H39" s="24" t="str">
        <x:v>Later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Should</x:v>
      </x:c>
      <x:c r="F40" s="24" t="str">
        <x:v>Backlog</x:v>
      </x:c>
      <x:c r="G40" s="24" t="str">
        <x:v>Post-MVP</x:v>
      </x:c>
      <x:c r="H40" s="24" t="str">
        <x:v>Later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Should</x:v>
      </x:c>
      <x:c r="F41" s="24" t="str">
        <x:v>Backlog</x:v>
      </x:c>
      <x:c r="G41" s="24" t="str">
        <x:v>Post-MVP</x:v>
      </x:c>
      <x:c r="H41" s="24" t="str">
        <x:v>Later</x:v>
      </x:c>
      <x:c r="I41" s="65" t="n">
        <x:v>8</x:v>
      </x:c>
      <x:c r="J41" s="24" t="str">
        <x:v>US-035, US-036</x:v>
      </x:c>
      <x:c r="K41" s="24" t="str">
        <x:v>Minstens twee kerne loop binne ’n gemete CPU/RAM-begroting</x:v>
      </x:c>
      <x:c r="L41" s="24" t="str">
        <x:v>CHATOD-20260714-MCP-CP-MVP-001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MVP-late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MVP-late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Backlog</x:v>
      </x:c>
      <x:c r="G55" s="24" t="str">
        <x:v>Release train</x:v>
      </x:c>
      <x:c r="H55" s="24" t="str">
        <x:v>MVP</x:v>
      </x:c>
      <x:c r="I55" s="65" t="n">
        <x:v>5</x:v>
      </x:c>
      <x:c r="J55" s="24" t="str">
        <x:v>US-003, US-015</x:v>
      </x:c>
      <x:c r="K55" s="24" t="str">
        <x:v>REPL, USB-MIDI en klankmeetstappe lewer ’n naspeurbare verslag</x:v>
      </x:c>
      <x:c r="L55" s="24" t="str">
        <x:v>CHATOD-20260714-MCP-CP-MVP-001 / MCP-US-051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Should</x:v>
      </x:c>
      <x:c r="F56" s="24" t="str">
        <x:v>Backlog</x:v>
      </x:c>
      <x:c r="G56" s="24" t="str">
        <x:v>Release train</x:v>
      </x:c>
      <x:c r="H56" s="24" t="str">
        <x:v>Later</x:v>
      </x:c>
      <x:c r="I56" s="65" t="n">
        <x:v>8</x:v>
      </x:c>
      <x:c r="J56" s="24" t="str">
        <x:v>US-004</x:v>
      </x:c>
      <x:c r="K56" s="24" t="str">
        <x:v>’n tweede CircuitPython-mikrobeheerder werk via ’n profiel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</x:v>
      </x:c>
      <x:c r="I59" s="65" t="n">
        <x:v>5</x:v>
      </x:c>
      <x:c r="J59" s="24" t="str">
        <x:v>US-003, US-007</x:v>
      </x:c>
      <x:c r="K59" s="24" t="str">
        <x:v>Logic stuur note/clock en ontvang ’n stabiele uitvoerpad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</x:v>
      </x:c>
      <x:c r="I61" s="66" t="n">
        <x:v>5</x:v>
      </x:c>
      <x:c r="J61" s="25" t="str">
        <x:v>Alle MVP-stories</x:v>
      </x:c>
      <x:c r="K61" s="25" t="str">
        <x:v>Tag, release notes, bekende beperkings en demo is gereed</x:v>
      </x:c>
      <x:c r="L61" s="25" t="str">
        <x:v>CHATOD-20260714-MCP-CP-MVP-001 / MCP-US-057</x:v>
      </x:c>
    </x:row>
    <x:row r="62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MVP</x:v>
      </x:c>
      <x:c r="I62" s="77" t="n">
        <x:v>5</x:v>
      </x:c>
      <x:c r="J62"/>
      <x:c r="K62"/>
      <x:c r="L62"/>
    </x:row>
    <x:row r="63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MVP</x:v>
      </x:c>
      <x:c r="I63" s="78" t="n">
        <x:v>5</x:v>
      </x:c>
      <x:c r="J63"/>
      <x:c r="K63"/>
      <x:c r="L63"/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4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72c94199a14fe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COUNTIF('Backlog'!$B$5:$B$63,A5)</x:f>
        <x:v>5</x:v>
      </x:c>
      <x:c r="D5" s="64" t="n">
        <x:f>COUNTIFS('Backlog'!$B$5:$B$63,A5,'Backlog'!$E$5:$E$63,"Must")</x:f>
        <x:v>4</x:v>
      </x:c>
      <x:c r="E5" s="64" t="n">
        <x:f>COUNTIFS('Backlog'!$B$5:$B$63,A5,'Backlog'!$F$5:$F$63,"Done")</x:f>
        <x:v>2</x:v>
      </x:c>
      <x:c r="F5" s="23" t="str">
        <x:v>Veilige, draagbare basis en konfigurasiegrens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COUNTIF('Backlog'!$B$5:$B$63,A6)</x:f>
        <x:v>9</x:v>
      </x:c>
      <x:c r="D6" s="65" t="n">
        <x:f>COUNTIFS('Backlog'!$B$5:$B$63,A6,'Backlog'!$E$5:$E$63,"Must")</x:f>
        <x:v>8</x:v>
      </x:c>
      <x:c r="E6" s="65" t="n">
        <x:f>COUNTIFS('Backlog'!$B$5:$B$63,A6,'Backlog'!$F$5:$F$63,"Done")</x:f>
        <x:v>0</x:v>
      </x:c>
      <x:c r="F6" s="24" t="str">
        <x:v>USB-MIDI, guitar slides, kontroles en interne/eksterne klok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COUNTIF('Backlog'!$B$5:$B$63,A7)</x:f>
        <x:v>8</x:v>
      </x:c>
      <x:c r="D7" s="65" t="n">
        <x:f>COUNTIFS('Backlog'!$B$5:$B$63,A7,'Backlog'!$E$5:$E$63,"Must")</x:f>
        <x:v>8</x:v>
      </x:c>
      <x:c r="E7" s="65" t="n">
        <x:f>COUNTIFS('Backlog'!$B$5:$B$63,A7,'Backlog'!$F$5:$F$63,"Done")</x:f>
        <x:v>0</x:v>
      </x:c>
      <x:c r="F7" s="24" t="str">
        <x:v>MAX98357 mono eerste, SN76489 en latere stereo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COUNTIF('Backlog'!$B$5:$B$63,A8)</x:f>
        <x:v>6</x:v>
      </x:c>
      <x:c r="D8" s="65" t="n">
        <x:f>COUNTIFS('Backlog'!$B$5:$B$63,A8,'Backlog'!$E$5:$E$63,"Must")</x:f>
        <x:v>6</x:v>
      </x:c>
      <x:c r="E8" s="65" t="n">
        <x:f>COUNTIFS('Backlog'!$B$5:$B$63,A8,'Backlog'!$F$5:$F$63,"Done")</x:f>
        <x:v>0</x:v>
      </x:c>
      <x:c r="F8" s="24" t="str">
        <x:v>Plaaslike webbeheer en eenvoudige performance tools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COUNTIF('Backlog'!$B$5:$B$63,A9)</x:f>
        <x:v>6</x:v>
      </x:c>
      <x:c r="D9" s="65" t="n">
        <x:f>COUNTIFS('Backlog'!$B$5:$B$63,A9,'Backlog'!$E$5:$E$63,"Must")</x:f>
        <x:v>1</x:v>
      </x:c>
      <x:c r="E9" s="65" t="n">
        <x:f>COUNTIFS('Backlog'!$B$5:$B$63,A9,'Backlog'!$F$5:$F$63,"Done")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COUNTIF('Backlog'!$B$5:$B$63,A10)</x:f>
        <x:v>9</x:v>
      </x:c>
      <x:c r="D10" s="65" t="n">
        <x:f>COUNTIFS('Backlog'!$B$5:$B$63,A10,'Backlog'!$E$5:$E$63,"Must")</x:f>
        <x:v>1</x:v>
      </x:c>
      <x:c r="E10" s="65" t="n">
        <x:f>COUNTIFS('Backlog'!$B$5:$B$63,A10,'Backlog'!$F$5:$F$63,"Done")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COUNTIF('Backlog'!$B$5:$B$63,A11)</x:f>
        <x:v>7</x:v>
      </x:c>
      <x:c r="D11" s="65" t="n">
        <x:f>COUNTIFS('Backlog'!$B$5:$B$63,A11,'Backlog'!$E$5:$E$63,"Must")</x:f>
        <x:v>3</x:v>
      </x:c>
      <x:c r="E11" s="65" t="n">
        <x:f>COUNTIFS('Backlog'!$B$5:$B$63,A11,'Backlog'!$F$5:$F$63,"Done")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COUNTIF('Backlog'!$B$5:$B$63,A12)</x:f>
        <x:v>9</x:v>
      </x:c>
      <x:c r="D12" s="66" t="n">
        <x:f>COUNTIFS('Backlog'!$B$5:$B$63,A12,'Backlog'!$E$5:$E$63,"Must")</x:f>
        <x:v>7</x:v>
      </x:c>
      <x:c r="E12" s="66" t="n">
        <x:f>COUNTIFS('Backlog'!$B$5:$B$63,A12,'Backlog'!$F$5:$F$63,"Done")</x:f>
        <x:v>0</x:v>
      </x:c>
      <x:c r="F12" s="25" t="str">
        <x:v>Host/HIL, kruisplatform en release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7178c6a43a2b4d0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3" hidden="0" customWidth="1"/>
    <x:col min="3" max="3" width="14" hidden="0" customWidth="1"/>
    <x:col min="4" max="4" width="14" hidden="0" customWidth="1"/>
    <x:col min="5" max="5" width="18" hidden="0" customWidth="1"/>
    <x:col min="6" max="6" width="54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Hoë risiko’s word vroeg sigbaar gemaak; geen demo-status verberg ’n blocker nie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Capability profile, MAX98357 HIL en PWM fallback</x:v>
      </x:c>
      <x:c r="G9" s="24" t="str">
        <x:v>Open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oorskry CPU/RAM</x:v>
      </x:c>
      <x:c r="C13" s="24" t="str">
        <x:v>High</x:v>
      </x:c>
      <x:c r="D13" s="24" t="str">
        <x:v>High</x:v>
      </x:c>
      <x:c r="E13" s="24" t="str">
        <x:v>DSP</x:v>
      </x:c>
      <x:c r="F13" s="24" t="str">
        <x:v>Een kern in MVP; budget gate</x:v>
      </x:c>
      <x:c r="G13" s="24" t="str">
        <x:v>Open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Backup, manifest en dry-run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2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ccb7d78b6445d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48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rol gee ’n sigbare bydrae; PO bly die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36" customHeight="1">
      <x:c r="A5" s="23" t="str">
        <x:v>Sales/Discovery</x:v>
      </x:c>
      <x:c r="B5" s="23" t="str">
        <x:v>Waarde, gebruiker, begroting</x:v>
      </x:c>
      <x:c r="C5" s="23" t="str">
        <x:v>Waardehipotese en demo-uitkoms</x:v>
      </x:c>
    </x:row>
    <x:row r="6" ht="36" customHeight="1">
      <x:c r="A6" s="24" t="str">
        <x:v>Business Analyst</x:v>
      </x:c>
      <x:c r="B6" s="24" t="str">
        <x:v>Vloei, omvang, aannames</x:v>
      </x:c>
      <x:c r="C6" s="24" t="str">
        <x:v>Story, kriteria en nie-doelwitte</x:v>
      </x:c>
    </x:row>
    <x:row r="7" ht="36" customHeight="1">
      <x:c r="A7" s="24" t="str">
        <x:v>Product Owner</x:v>
      </x:c>
      <x:c r="B7" s="24" t="str">
        <x:v>Prioriteit en aanvaarding</x:v>
      </x:c>
      <x:c r="C7" s="24" t="str">
        <x:v>Ready/accept/reject</x:v>
      </x:c>
    </x:row>
    <x:row r="8" ht="36" customHeight="1">
      <x:c r="A8" s="24" t="str">
        <x:v>Scrum Master</x:v>
      </x:c>
      <x:c r="B8" s="24" t="str">
        <x:v>Volgorde en impediments</x:v>
      </x:c>
      <x:c r="C8" s="24" t="str">
        <x:v>Now/Next/Later en blocker</x:v>
      </x:c>
    </x:row>
    <x:row r="9" ht="36" customHeight="1">
      <x:c r="A9" s="24" t="str">
        <x:v>Solution Architect</x:v>
      </x:c>
      <x:c r="B9" s="24" t="str">
        <x:v>Poorte, ADR en portabiliteit</x:v>
      </x:c>
      <x:c r="C9" s="24" t="str">
        <x:v>Ontwerpresensie en trade-off</x:v>
      </x:c>
    </x:row>
    <x:row r="10" ht="36" customHeight="1">
      <x:c r="A10" s="24" t="str">
        <x:v>Embedded Engineer</x:v>
      </x:c>
      <x:c r="B10" s="24" t="str">
        <x:v>Boot, bord, penne, geheue</x:v>
      </x:c>
      <x:c r="C10" s="24" t="str">
        <x:v>Bordimpak en herstelpad</x:v>
      </x:c>
    </x:row>
    <x:row r="11" ht="36" customHeight="1">
      <x:c r="A11" s="24" t="str">
        <x:v>MIDI Engineer</x:v>
      </x:c>
      <x:c r="B11" s="24" t="str">
        <x:v>MIDI, kanale, clock, controls</x:v>
      </x:c>
      <x:c r="C11" s="24" t="str">
        <x:v>Kontrakte en randgevalle</x:v>
      </x:c>
    </x:row>
    <x:row r="12" ht="36" customHeight="1">
      <x:c r="A12" s="24" t="str">
        <x:v>DSP/Chip Engineer</x:v>
      </x:c>
      <x:c r="B12" s="24" t="str">
        <x:v>Kern, voices, audio, DSP</x:v>
      </x:c>
      <x:c r="C12" s="24" t="str">
        <x:v>CPU/RAM/latensie/akkuraatheid</x:v>
      </x:c>
    </x:row>
    <x:row r="13" ht="36" customHeight="1">
      <x:c r="A13" s="24" t="str">
        <x:v>Web Engineer</x:v>
      </x:c>
      <x:c r="B13" s="24" t="str">
        <x:v>Plaaslike UI en scheduling</x:v>
      </x:c>
      <x:c r="C13" s="24" t="str">
        <x:v>UI-vloei en bronimpak</x:v>
      </x:c>
    </x:row>
    <x:row r="14" ht="36" customHeight="1">
      <x:c r="A14" s="24" t="str">
        <x:v>QA/HIL Engineer</x:v>
      </x:c>
      <x:c r="B14" s="24" t="str">
        <x:v>Rooi/groen en instrumentmeting</x:v>
      </x:c>
      <x:c r="C14" s="24" t="str">
        <x:v>Toetsmatriks en bewys</x:v>
      </x:c>
    </x:row>
    <x:row r="15" ht="36" customHeight="1">
      <x:c r="A15" s="25" t="str">
        <x:v>Release/Documentation</x:v>
      </x:c>
      <x:c r="B15" s="25" t="str">
        <x:v>Git, installasie en traceability</x:v>
      </x:c>
      <x:c r="C15" s="25" t="str">
        <x:v>Publikasiehek en docs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cb0eb2b4c4c3459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Primêre dokumentasie voor sekondêre demonstrasies;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bb3b371d215e45d1"/>
  </x:tableParts>
</x:worksheet>
</file>
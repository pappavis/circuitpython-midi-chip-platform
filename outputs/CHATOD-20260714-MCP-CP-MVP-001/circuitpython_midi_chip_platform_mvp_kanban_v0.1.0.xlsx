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596c293cad4a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ae5bba51ed84711"/>
    <x:sheet xmlns:r="http://schemas.openxmlformats.org/officeDocument/2006/relationships" name="Backlog" sheetId="2" r:id="Re3f1d5bdd4304b41"/>
    <x:sheet xmlns:r="http://schemas.openxmlformats.org/officeDocument/2006/relationships" name="Epics" sheetId="3" r:id="Rf4dbab0441ac4e79"/>
    <x:sheet xmlns:r="http://schemas.openxmlformats.org/officeDocument/2006/relationships" name="Risks" sheetId="4" r:id="R419d1a0708ab49f4"/>
    <x:sheet xmlns:r="http://schemas.openxmlformats.org/officeDocument/2006/relationships" name="Team RACI" sheetId="5" r:id="R09db2ff8927f4a63"/>
    <x:sheet xmlns:r="http://schemas.openxmlformats.org/officeDocument/2006/relationships" name="Sources" sheetId="6" r:id="R3b86a5b9b7b34a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  <x:font>
      <x:b/>
      <x:sz val="11"/>
      <x:color rgb="FF243746"/>
      <x:name val="Aptos"/>
    </x:font>
    <x:font>
      <x:sz val="11"/>
      <x:color rgb="FF243746"/>
      <x:name val="Aptos"/>
    </x:font>
    <x:font>
      <x:i/>
      <x:sz val="11"/>
      <x:color rgb="FF243746"/>
      <x:name val="Aptos"/>
    </x:font>
    <x:font>
      <x:sz val="20"/>
      <x:color rgb="FFFFFFFF"/>
      <x:name val="Aptos"/>
    </x:font>
    <x:font>
      <x:b/>
      <x:sz val="11"/>
      <x:color rgb="FFFFFFFF"/>
      <x:name val="Aptos"/>
    </x:font>
    <x:font>
      <x:sz val="10"/>
      <x:color rgb="FF58728A"/>
      <x:name val="Aptos"/>
    </x:font>
  </x:fonts>
  <x:fills count="29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  <x:fill>
      <x:patternFill patternType="solid">
        <x:fgColor rgb="FF12324A"/>
      </x:patternFill>
    </x:fill>
    <x:fill>
      <x:patternFill patternType="solid">
        <x:fgColor rgb="FFEAF4F7"/>
      </x:patternFill>
    </x:fill>
    <x:fill>
      <x:patternFill patternType="solid">
        <x:fgColor rgb="FF1B7288"/>
      </x:patternFill>
    </x:fill>
    <x:fill>
      <x:patternFill patternType="solid">
        <x:fgColor rgb="FFFFFFFF"/>
      </x:patternFill>
    </x:fill>
    <x:fill>
      <x:patternFill patternType="solid">
        <x:fgColor rgb="FFE6F1F4"/>
      </x:patternFill>
    </x:fill>
    <x:fill>
      <x:patternFill patternType="solid">
        <x:fgColor rgb="FFF26B5E"/>
      </x:patternFill>
    </x:fill>
    <x:fill>
      <x:patternFill patternType="solid">
        <x:fgColor rgb="FFF4F8FA"/>
      </x:patternFill>
    </x:fill>
    <x:fill>
      <x:patternFill patternType="solid">
        <x:fgColor rgb="FFFFFFFF"/>
      </x:patternFill>
    </x:fill>
    <x:fill>
      <x:patternFill patternType="solid">
        <x:fgColor rgb="FFBFE5F4"/>
      </x:patternFill>
    </x:fill>
    <x:fill>
      <x:patternFill patternType="solid">
        <x:fgColor rgb="FFBCEFC6"/>
      </x:patternFill>
    </x:fill>
    <x:fill>
      <x:patternFill patternType="solid">
        <x:fgColor rgb="FF80C6E3"/>
      </x:patternFill>
    </x:fill>
    <x:fill>
      <x:patternFill patternType="solid">
        <x:fgColor rgb="FFBFE5F4"/>
      </x:patternFill>
    </x:fill>
    <x:fill>
      <x:patternFill patternType="solid">
        <x:fgColor rgb="FFFFFFFF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CE0D1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8" fillId="2" borderId="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3" borderId="0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2" xfId="0" applyNumberFormat="1" applyFont="1" applyFill="1" applyBorder="1" applyAlignment="1">
      <x:alignment vertical="center" wrapText="1"/>
    </x:xf>
    <x:xf numFmtId="0" fontId="18" fillId="4" borderId="6" xfId="0" applyNumberFormat="1" applyFont="1" applyFill="1" applyBorder="1" applyAlignment="1">
      <x:alignment vertical="center" wrapText="1"/>
    </x:xf>
    <x:xf numFmtId="0" fontId="19" fillId="0" borderId="3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vertical="top" wrapText="1"/>
    </x:xf>
    <x:xf numFmtId="0" fontId="18" fillId="3" borderId="4" xfId="0" applyNumberFormat="1" applyFont="1" applyFill="1" applyBorder="1" applyAlignment="1">
      <x:alignment horizontal="center" vertical="center" wrapText="1"/>
    </x:xf>
    <x:xf numFmtId="0" fontId="19" fillId="0" borderId="5" xfId="0" applyNumberFormat="1" applyFont="1" applyFill="1" applyBorder="1" applyAlignment="1">
      <x:alignment vertical="top" wrapText="1"/>
    </x:xf>
    <x:xf numFmtId="0" fontId="18" fillId="3" borderId="5" xfId="0" applyNumberFormat="1" applyFont="1" applyFill="1" applyBorder="1" applyAlignment="1">
      <x:alignment horizontal="center" vertical="center" wrapText="1"/>
    </x:xf>
    <x:xf numFmtId="0" fontId="18" fillId="5" borderId="0" xfId="0" applyNumberFormat="1" applyFont="1" applyFill="1" applyBorder="1" applyAlignment="1">
      <x:alignment horizontal="center" vertical="center"/>
    </x:xf>
    <x:xf numFmtId="0" fontId="19" fillId="6" borderId="7" xfId="0" applyNumberFormat="1" applyFont="1" applyFill="1" applyBorder="1" applyAlignment="1">
      <x:alignment vertical="center" wrapText="1"/>
    </x:xf>
    <x:xf numFmtId="0" fontId="18" fillId="11" borderId="0" xfId="0" applyNumberFormat="1" applyFont="1" applyFill="1" applyBorder="1" applyAlignment="1">
      <x:alignment vertical="center"/>
    </x:xf>
    <x:xf numFmtId="0" fontId="19" fillId="11" borderId="0" xfId="0" applyNumberFormat="1" applyFont="1" applyFill="1" applyBorder="1"/>
    <x:xf numFmtId="0" fontId="21" fillId="11" borderId="0" xfId="0" applyNumberFormat="1" applyFont="1" applyFill="1" applyBorder="1" applyAlignment="1">
      <x:alignment vertical="center"/>
    </x:xf>
    <x:xf numFmtId="0" fontId="21" fillId="11" borderId="0" xfId="0" applyNumberFormat="1" applyFont="1" applyFill="1" applyBorder="1"/>
    <x:xf numFmtId="0" fontId="20" fillId="12" borderId="0" xfId="0" applyNumberFormat="1" applyFont="1" applyFill="1" applyBorder="1" applyAlignment="1">
      <x:alignment vertical="center" wrapText="1"/>
    </x:xf>
    <x:xf numFmtId="0" fontId="19" fillId="12" borderId="0" xfId="0" applyNumberFormat="1" applyFont="1" applyFill="1" applyBorder="1"/>
    <x:xf numFmtId="0" fontId="18" fillId="13" borderId="1" xfId="0" applyNumberFormat="1" applyFont="1" applyFill="1" applyBorder="1" applyAlignment="1">
      <x:alignment vertical="center" wrapText="1"/>
    </x:xf>
    <x:xf numFmtId="0" fontId="18" fillId="13" borderId="2" xfId="0" applyNumberFormat="1" applyFont="1" applyFill="1" applyBorder="1" applyAlignment="1">
      <x:alignment vertical="center" wrapText="1"/>
    </x:xf>
    <x:xf numFmtId="0" fontId="22" fillId="13" borderId="1" xfId="0" applyNumberFormat="1" applyFont="1" applyFill="1" applyBorder="1" applyAlignment="1">
      <x:alignment vertical="center" wrapText="1"/>
    </x:xf>
    <x:xf numFmtId="0" fontId="22" fillId="13" borderId="2" xfId="0" applyNumberFormat="1" applyFont="1" applyFill="1" applyBorder="1" applyAlignment="1">
      <x:alignment vertical="center" wrapText="1"/>
    </x:xf>
    <x:xf numFmtId="0" fontId="18" fillId="13" borderId="6" xfId="0" applyNumberFormat="1" applyFont="1" applyFill="1" applyBorder="1" applyAlignment="1">
      <x:alignment vertical="center" wrapText="1"/>
    </x:xf>
    <x:xf numFmtId="0" fontId="22" fillId="13" borderId="6" xfId="0" applyNumberFormat="1" applyFont="1" applyFill="1" applyBorder="1" applyAlignment="1">
      <x:alignment vertical="center" wrapText="1"/>
    </x:xf>
    <x:xf numFmtId="0" fontId="19" fillId="14" borderId="3" xfId="0" applyNumberFormat="1" applyFont="1" applyFill="1" applyBorder="1" applyAlignment="1">
      <x:alignment vertical="top" wrapText="1"/>
    </x:xf>
    <x:xf numFmtId="0" fontId="19" fillId="14" borderId="4" xfId="0" applyNumberFormat="1" applyFont="1" applyFill="1" applyBorder="1" applyAlignment="1">
      <x:alignment vertical="top" wrapText="1"/>
    </x:xf>
    <x:xf numFmtId="0" fontId="19" fillId="14" borderId="5" xfId="0" applyNumberFormat="1" applyFont="1" applyFill="1" applyBorder="1" applyAlignment="1">
      <x:alignment vertical="top" wrapText="1"/>
    </x:xf>
    <x:xf numFmtId="0" fontId="18" fillId="15" borderId="3" xfId="0" applyNumberFormat="1" applyFont="1" applyFill="1" applyBorder="1" applyAlignment="1">
      <x:alignment horizontal="center" vertical="center" wrapText="1"/>
    </x:xf>
    <x:xf numFmtId="0" fontId="18" fillId="15" borderId="4" xfId="0" applyNumberFormat="1" applyFont="1" applyFill="1" applyBorder="1" applyAlignment="1">
      <x:alignment horizontal="center" vertical="center" wrapText="1"/>
    </x:xf>
    <x:xf numFmtId="0" fontId="18" fillId="15" borderId="5" xfId="0" applyNumberFormat="1" applyFont="1" applyFill="1" applyBorder="1" applyAlignment="1">
      <x:alignment horizontal="center" vertical="center" wrapText="1"/>
    </x:xf>
    <x:xf numFmtId="0" fontId="19" fillId="14" borderId="0" xfId="0" applyNumberFormat="1" applyFont="1" applyFill="1" applyBorder="1"/>
    <x:xf numFmtId="0" fontId="18" fillId="16" borderId="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/>
    <x:xf numFmtId="0" fontId="22" fillId="16" borderId="0" xfId="0" applyNumberFormat="1" applyFont="1" applyFill="1" applyBorder="1" applyAlignment="1">
      <x:alignment horizontal="center" vertical="center"/>
    </x:xf>
    <x:xf numFmtId="0" fontId="22" fillId="16" borderId="0" xfId="0" applyNumberFormat="1" applyFont="1" applyFill="1" applyBorder="1"/>
    <x:xf numFmtId="0" fontId="19" fillId="17" borderId="7" xfId="0" applyNumberFormat="1" applyFont="1" applyFill="1" applyBorder="1" applyAlignment="1">
      <x:alignment vertical="center" wrapText="1"/>
    </x:xf>
    <x:xf numFmtId="0" fontId="19" fillId="17" borderId="0" xfId="0" applyNumberFormat="1" applyFont="1" applyFill="1" applyBorder="1"/>
    <x:xf numFmtId="0" fontId="23" fillId="17" borderId="7" xfId="0" applyNumberFormat="1" applyFont="1" applyFill="1" applyBorder="1" applyAlignment="1">
      <x:alignment vertical="center" wrapText="1"/>
    </x:xf>
    <x:xf numFmtId="0" fontId="23" fillId="17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19" borderId="4" xfId="0" applyNumberFormat="1" applyFont="1" applyFill="1" applyBorder="1" applyAlignment="1">
      <x:alignment vertical="center" wrapText="1"/>
    </x:xf>
    <x:xf numFmtId="0" fontId="4" fillId="21" borderId="4" xfId="0" applyNumberFormat="1" applyFont="1" applyFill="1" applyBorder="1" applyAlignment="1">
      <x:alignment vertical="center" wrapText="1"/>
    </x:xf>
    <x:xf numFmtId="0" fontId="4" fillId="21" borderId="5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bf5530977b489f" /><Relationship Type="http://schemas.openxmlformats.org/officeDocument/2006/relationships/theme" Target="/xl/theme/theme1.xml" Id="R42f64642ada54803" /><Relationship Type="http://schemas.openxmlformats.org/officeDocument/2006/relationships/sharedStrings" Target="/xl/sharedStrings.xml" Id="R0c3f4311d17a444c" /><Relationship Type="http://schemas.openxmlformats.org/officeDocument/2006/relationships/worksheet" Target="/xl/worksheets/sheet1.xml" Id="R9ae5bba51ed84711" /><Relationship Type="http://schemas.openxmlformats.org/officeDocument/2006/relationships/worksheet" Target="/xl/worksheets/sheet2.xml" Id="Re3f1d5bdd4304b41" /><Relationship Type="http://schemas.openxmlformats.org/officeDocument/2006/relationships/worksheet" Target="/xl/worksheets/sheet3.xml" Id="Rf4dbab0441ac4e79" /><Relationship Type="http://schemas.openxmlformats.org/officeDocument/2006/relationships/worksheet" Target="/xl/worksheets/sheet4.xml" Id="R419d1a0708ab49f4" /><Relationship Type="http://schemas.openxmlformats.org/officeDocument/2006/relationships/worksheet" Target="/xl/worksheets/sheet5.xml" Id="R09db2ff8927f4a63" /><Relationship Type="http://schemas.openxmlformats.org/officeDocument/2006/relationships/worksheet" Target="/xl/worksheets/sheet6.xml" Id="R3b86a5b9b7b34a03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33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34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ba25b59b45343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805b39e6d21414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c5139a01c8547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2d6bd237d4847a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0a5ebf67153462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100" t="str">
        <x:v>MIDI Chip Platform - MVP Kanban</x:v>
      </x:c>
      <x:c r="B1" s="101"/>
      <x:c r="C1" s="101"/>
      <x:c r="D1" s="101"/>
      <x:c r="E1" s="101"/>
      <x:c r="F1" s="101"/>
      <x:c r="G1" s="101"/>
      <x:c r="H1" s="101"/>
    </x:row>
    <x:row r="2" ht="28" customHeight="1">
      <x:c r="A2" s="102" t="str">
        <x:v>Sprint 3 | scope v0.28.0 | runtime v0.17.0 | CHATOD-20260714-MCP-CP-MVP-001</x:v>
      </x:c>
      <x:c r="B2" s="103"/>
      <x:c r="C2" s="103"/>
      <x:c r="D2" s="103"/>
      <x:c r="E2" s="103"/>
      <x:c r="F2" s="103"/>
      <x:c r="G2" s="103"/>
      <x:c r="H2" s="103"/>
    </x:row>
    <x:row r="3">
      <x:c r="A3" s="85"/>
      <x:c r="B3" s="85"/>
      <x:c r="C3" s="85"/>
      <x:c r="D3" s="85"/>
      <x:c r="E3" s="85"/>
      <x:c r="F3" s="85"/>
      <x:c r="G3" s="85"/>
      <x:c r="H3" s="85"/>
    </x:row>
    <x:row r="4" ht="28" customHeight="1">
      <x:c r="A4" s="106" t="str">
        <x:v>Metriek</x:v>
      </x:c>
      <x:c r="B4" s="107" t="str">
        <x:v>Waarde</x:v>
      </x:c>
      <x:c r="C4" s="85"/>
      <x:c r="D4" s="106" t="str">
        <x:v>MVP-besluithekke</x:v>
      </x:c>
      <x:c r="E4" s="109"/>
      <x:c r="F4" s="109"/>
      <x:c r="G4" s="109"/>
      <x:c r="H4" s="107"/>
    </x:row>
    <x:row r="5">
      <x:c r="A5" s="110" t="str">
        <x:v>Totale stories</x:v>
      </x:c>
      <x:c r="B5" s="113" t="n">
        <x:v>76</x:v>
      </x:c>
      <x:c r="C5" s="85"/>
      <x:c r="D5" s="110" t="str">
        <x:v>1. US-075 PO-uitzondering aanvaar; geen produksie-veiligheidsclaim</x:v>
      </x:c>
      <x:c r="E5" s="110"/>
      <x:c r="F5" s="110"/>
      <x:c r="G5" s="110"/>
      <x:c r="H5" s="110"/>
    </x:row>
    <x:row r="6">
      <x:c r="A6" s="111" t="str">
        <x:v>Done</x:v>
      </x:c>
      <x:c r="B6" s="114" t="n">
        <x:v>17</x:v>
      </x:c>
      <x:c r="C6" s="85"/>
      <x:c r="D6" s="111" t="str">
        <x:v>2. US-055 v0.17.5 hostgroen: USB-MIDI -&gt; D1 -&gt; latched I2S tone</x:v>
      </x:c>
      <x:c r="E6" s="111"/>
      <x:c r="F6" s="111"/>
      <x:c r="G6" s="111"/>
      <x:c r="H6" s="111"/>
    </x:row>
    <x:row r="7">
      <x:c r="A7" s="111" t="str">
        <x:v>In Review</x:v>
      </x:c>
      <x:c r="B7" s="114" t="n">
        <x:v>2</x:v>
      </x:c>
      <x:c r="C7" s="85"/>
      <x:c r="D7" s="111" t="str">
        <x:v>3. Product Owner HIL: Logic External MIDI na S2 Mini moet D1 hoorbaar speel</x:v>
      </x:c>
      <x:c r="E7" s="111"/>
      <x:c r="F7" s="111"/>
      <x:c r="G7" s="111"/>
      <x:c r="H7" s="111"/>
    </x:row>
    <x:row r="8">
      <x:c r="A8" s="111" t="str">
        <x:v>MVP acceptance-set</x:v>
      </x:c>
      <x:c r="B8" s="114" t="n">
        <x:v>17</x:v>
      </x:c>
      <x:c r="C8" s="85"/>
      <x:c r="D8" s="112" t="str">
        <x:v>4. US-057 volg ná US-055 vir end-to-end MVP burn-in/acceptance</x:v>
      </x:c>
      <x:c r="E8" s="112"/>
      <x:c r="F8" s="112"/>
      <x:c r="G8" s="112"/>
      <x:c r="H8" s="112"/>
    </x:row>
    <x:row r="9">
      <x:c r="A9" s="111" t="str">
        <x:v>Oop risiko’s</x:v>
      </x:c>
      <x:c r="B9" s="114" t="n">
        <x:f>COUNTA('Risks'!$A$5:$A$200)</x:f>
        <x:v>34</x:v>
      </x:c>
      <x:c r="C9" s="85"/>
      <x:c r="D9" s="116" t="str"/>
      <x:c r="E9" s="116"/>
      <x:c r="F9" s="116"/>
      <x:c r="G9" s="116"/>
      <x:c r="H9" s="116"/>
    </x:row>
    <x:row r="10">
      <x:c r="A10" s="112" t="str">
        <x:v>Virtuele rolle</x:v>
      </x:c>
      <x:c r="B10" s="115" t="n">
        <x:f>COUNTA('Team RACI'!$A$5:$A$100)</x:f>
        <x:v>14</x:v>
      </x:c>
      <x:c r="C10" s="85"/>
      <x:c r="D10" s="116"/>
      <x:c r="E10" s="116"/>
      <x:c r="F10" s="116"/>
      <x:c r="G10" s="116"/>
      <x:c r="H10" s="116"/>
    </x:row>
    <x:row r="11">
      <x:c r="A11" s="85"/>
      <x:c r="B11" s="85"/>
      <x:c r="C11" s="85"/>
      <x:c r="D11" s="85"/>
      <x:c r="E11" s="85"/>
      <x:c r="F11" s="85"/>
      <x:c r="G11" s="85"/>
      <x:c r="H11" s="85"/>
    </x:row>
    <x:row r="12">
      <x:c r="A12" s="85"/>
      <x:c r="B12" s="85"/>
      <x:c r="C12" s="85"/>
      <x:c r="D12" s="85"/>
      <x:c r="E12" s="85"/>
      <x:c r="F12" s="85"/>
      <x:c r="G12" s="85"/>
      <x:c r="H12" s="85"/>
    </x:row>
    <x:row r="13" ht="30" customHeight="1">
      <x:c r="A13" s="119" t="str">
        <x:v>131 tests GREEN | US-055 IN REVIEW | v0.17.5 Logic HIL retest needed</x:v>
      </x:c>
      <x:c r="B13" s="120"/>
      <x:c r="C13" s="120"/>
      <x:c r="D13" s="120"/>
      <x:c r="E13" s="120"/>
      <x:c r="F13" s="120"/>
      <x:c r="G13" s="120"/>
      <x:c r="H13" s="120"/>
    </x:row>
    <x:row r="14">
      <x:c r="A14" s="85"/>
      <x:c r="B14" s="85"/>
      <x:c r="C14" s="85"/>
      <x:c r="D14" s="85"/>
      <x:c r="E14" s="85"/>
      <x:c r="F14" s="85"/>
      <x:c r="G14" s="85"/>
      <x:c r="H14" s="85"/>
    </x:row>
    <x:row r="15" ht="58" customHeight="1">
      <x:c r="A15" s="123" t="str">
        <x:v>MVP 2026-07-16: verwysingsbord ontvang Logic USB-MIDI en speel hoorbare D1; alle volgende cores en uitbreidings is post-MVP.</x:v>
      </x:c>
      <x:c r="B15" s="124"/>
      <x:c r="C15" s="124"/>
      <x:c r="D15" s="124"/>
      <x:c r="E15" s="124"/>
      <x:c r="F15" s="124"/>
      <x:c r="G15" s="124"/>
      <x:c r="H15" s="124"/>
    </x:row>
    <x:row r="16">
      <x:c r="A16" s="124"/>
      <x:c r="B16" s="124"/>
      <x:c r="C16" s="124"/>
      <x:c r="D16" s="124"/>
      <x:c r="E16" s="124"/>
      <x:c r="F16" s="124"/>
      <x:c r="G16" s="124"/>
      <x:c r="H16" s="124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  <x:mergeCell ref="A15:H15"/>
    <x:mergeCell ref="D9:H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v0.28.0 | 76 stories | US-055 In Review for Logic/HIL acceptance</x:v>
      </x:c>
      <x:c r="B2"/>
      <x:c r="C2"/>
      <x:c r="D2"/>
      <x:c r="E2"/>
      <x:c r="F2"/>
      <x:c r="G2"/>
      <x:c r="H2"/>
      <x:c r="I2"/>
      <x:c r="J2"/>
      <x:c r="K2"/>
      <x:c r="L2"/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MVP-Enabler (Done)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MVP-Enabler (Done)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MVP-Enabler (Done)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Done</x:v>
      </x:c>
      <x:c r="G8" s="24" t="str">
        <x:v>Sprint 1</x:v>
      </x:c>
      <x:c r="H8" s="24" t="str">
        <x:v>MVP-Enabler (Done)</x:v>
      </x:c>
      <x:c r="I8" s="65" t="n">
        <x:v>5</x:v>
      </x:c>
      <x:c r="J8" s="24" t="str">
        <x:v>US-002</x:v>
      </x:c>
      <x:c r="K8" s="24" t="str">
        <x:v>Profiel, IO3/5/7, modules, heap en I2S-backend gerapporteer; power-cycle recovery en volledige manifest-HIL slaag</x:v>
      </x:c>
      <x:c r="L8" s="24" t="str">
        <x:v>CHATOD-20260714-MCP-CP-MVP-001 / MCP-US-004 / v0.4.0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Done</x:v>
      </x:c>
      <x:c r="G9" s="24" t="str">
        <x:v>Sprint 1</x:v>
      </x:c>
      <x:c r="H9" s="24" t="str">
        <x:v>MVP-Enabler (Done)</x:v>
      </x:c>
      <x:c r="I9" s="65" t="n">
        <x:v>5</x:v>
      </x:c>
      <x:c r="J9" s="24" t="str">
        <x:v>US-003</x:v>
      </x:c>
      <x:c r="K9" s="24" t="str">
        <x:v>Host secret-leak tests and Wemos v0.12.3 prove PASS, three empty private settings as UNSET and device execution READY without exposing values</x:v>
      </x:c>
      <x:c r="L9" s="24" t="str">
        <x:v>CHATOD-20260714-MCP-CP-MVP-001 / MCP-US-005-HIL-ACCEPTED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Done</x:v>
      </x:c>
      <x:c r="G10" s="24" t="str">
        <x:v>Sprint 2</x:v>
      </x:c>
      <x:c r="H10" s="24" t="str">
        <x:v>MVP-Enabler (Done)</x:v>
      </x:c>
      <x:c r="I10" s="65" t="n">
        <x:v>5</x:v>
      </x:c>
      <x:c r="J10" s="24" t="str">
        <x:v>US-002</x:v>
      </x:c>
      <x:c r="K10" s="24" t="str">
        <x:v>Product Owner het die draagbare eventmodel binne 68 groen hosttoetse aanvaar</x:v>
      </x:c>
      <x:c r="L10" s="24" t="str">
        <x:v>CHATOD-20260714-MCP-CP-MVP-001 / HOST-ACCEPTED / v0.11.0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Done</x:v>
      </x:c>
      <x:c r="G11" s="24" t="str">
        <x:v>Sprint 2</x:v>
      </x:c>
      <x:c r="H11" s="24" t="str">
        <x:v>MVP-Enabler (Done)</x:v>
      </x:c>
      <x:c r="I11" s="65" t="n">
        <x:v>5</x:v>
      </x:c>
      <x:c r="J11" s="24" t="str">
        <x:v>US-003, US-006</x:v>
      </x:c>
      <x:c r="K11" s="24" t="str">
        <x:v>v0.12.2 ontvang fisies USB-MIDI vanaf Logic/CoreMIDI; twee Note On, een Note Off en matched_notes=1 is op die Wemos S2 gerapporteer</x:v>
      </x:c>
      <x:c r="L11" s="24" t="str">
        <x:v>CHATOD-20260714-MCP-CP-MVP-001 / MCP-US-007-ACCEPTANCE / v0.12.2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Done</x:v>
      </x:c>
      <x:c r="G12" s="24" t="str">
        <x:v>Sprint 2</x:v>
      </x:c>
      <x:c r="H12" s="24" t="str">
        <x:v>MVP-Enabler (Done)</x:v>
      </x:c>
      <x:c r="I12" s="65" t="n">
        <x:v>5</x:v>
      </x:c>
      <x:c r="J12" s="24" t="str">
        <x:v>US-007</x:v>
      </x:c>
      <x:c r="K12" s="24" t="str">
        <x:v>Kanaal 1-16 roeteer dinamies; kanaallose clock en onbekende kanale bly ongebonde</x:v>
      </x:c>
      <x:c r="L12" s="24" t="str">
        <x:v>CHATOD-20260714-MCP-CP-MVP-001 / MCP-US-008 / commit 68f4dd4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Done</x:v>
      </x:c>
      <x:c r="G13" s="24" t="str">
        <x:v>Sprint 2</x:v>
      </x:c>
      <x:c r="H13" s="24" t="str">
        <x:v>MVP-Enabler (Done)</x:v>
      </x:c>
      <x:c r="I13" s="65" t="n">
        <x:v>5</x:v>
      </x:c>
      <x:c r="J13" s="24" t="str">
        <x:v>US-007</x:v>
      </x:c>
      <x:c r="K13" s="24" t="str">
        <x:v>Velocity nul, Note Off, CC120 en CC123 ruim aktiewe note per kanaal op</x:v>
      </x:c>
      <x:c r="L13" s="24" t="str">
        <x:v>CHATOD-20260714-MCP-CP-MVP-001 / MCP-US-009 / commit 3236850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In Review</x:v>
      </x:c>
      <x:c r="G14" s="24" t="str">
        <x:v>Sprint 2</x:v>
      </x:c>
      <x:c r="H14" s="24" t="str">
        <x:v>Post-MVP</x:v>
      </x:c>
      <x:c r="I14" s="65" t="n">
        <x:v>5</x:v>
      </x:c>
      <x:c r="J14" s="24" t="str">
        <x:v>US-007</x:v>
      </x:c>
      <x:c r="K14" s="24" t="str">
        <x:v>Per-kanaal bend/CC1-berekening aanvaar; hoorbare toets wag op US-016 en US-063</x:v>
      </x:c>
      <x:c r="L14" s="24" t="str">
        <x:v>CHATOD-20260714-MCP-CP-MVP-001 / MCP-US-010 / HOST-ACCEPTED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Post-MVP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Post-MVP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Post-MVP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Done</x:v>
      </x:c>
      <x:c r="G18" s="24" t="str">
        <x:v>Sprint 3</x:v>
      </x:c>
      <x:c r="H18" s="24" t="str">
        <x:v>MVP-Enabler (Done)</x:v>
      </x:c>
      <x:c r="I18" s="65" t="n">
        <x:v>5</x:v>
      </x:c>
      <x:c r="J18" s="24" t="str">
        <x:v>US-002</x:v>
      </x:c>
      <x:c r="K18" s="24" t="str">
        <x:v>Bounded interleaved signed-16 PCM blocks, mono/stereo format, Null/Memory outputs, application integration and 17-file deploy manifest pass 99 host tests; no physical audio claim</x:v>
      </x:c>
      <x:c r="L18" s="24" t="str">
        <x:v>CHATOD-20260714-MCP-CP-MVP-001 / MCP-US-014-START / v0.13.0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Post-MVP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Standalone I2S Audible Diagnostic (MAX98357 Default)</x:v>
      </x:c>
      <x:c r="D20" s="24" t="str">
        <x:v>DSP/Chip Engineer</x:v>
      </x:c>
      <x:c r="E20" s="24" t="str">
        <x:v>Must</x:v>
      </x:c>
      <x:c r="F20" s="24" t="str">
        <x:v>Done</x:v>
      </x:c>
      <x:c r="G20" s="24" t="str">
        <x:v>Sprint 3</x:v>
      </x:c>
      <x:c r="H20" s="24" t="str">
        <x:v>MVP-Must</x:v>
      </x:c>
      <x:c r="I20" s="65" t="n">
        <x:v>5</x:v>
      </x:c>
      <x:c r="J20" s="24" t="str">
        <x:v>US-004, US-014</x:v>
      </x:c>
      <x:c r="K20" s="24" t="str">
        <x:v>PASS 2026-07-16: Wemos S2/MAX98357A played audible mono G3-C4-D4; serial notes=3, heap 2056512-&gt;2056192, 103 host tests; long burn-in tracked by US-051/US-057</x:v>
      </x:c>
      <x:c r="L20" s="24" t="str">
        <x:v>CHATOD-20260714-MCP-CP-MVP-001 / MCP-US-016-HIL-PASS-001 / v0.14.0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Post-MVP</x:v>
      </x:c>
      <x:c r="I21" s="65" t="n">
        <x:v>5</x:v>
      </x:c>
      <x:c r="J21" s="24" t="str">
        <x:v>US-063, US-057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Post-MVP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Post-MVP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Integrated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Post-MVP</x:v>
      </x:c>
      <x:c r="I24" s="65" t="n">
        <x:v>5</x:v>
      </x:c>
      <x:c r="J24" s="24" t="str">
        <x:v>US-016, US-063</x:v>
      </x:c>
      <x:c r="K24" s="24" t="str">
        <x:v>Post-MVP startup tune uses D1/runtime AudioOutput and remains distinct from standalone US-016 hardware diagnostic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Post-MVP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Post-MVP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Station And AP Fallback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Post-MVP</x:v>
      </x:c>
      <x:c r="I27" s="65" t="n">
        <x:v>5</x:v>
      </x:c>
      <x:c r="J27" s="24" t="str">
        <x:v>US-005, US-022</x:v>
      </x:c>
      <x:c r="K27" s="24" t="str">
        <x:v>Startup rapporteer hostname plus station/IP of veilige AP-fallback/IP; join is begrens, geredigeer en blokkeer nie MIDI/klank nie</x:v>
      </x:c>
      <x:c r="L27" s="24" t="str">
        <x:v>CHATOD-20260714-MCP-CP-MVP-001 / MCP-US-007-ACCEPTANCE-START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Mobile-Friendly 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Post-MVP</x:v>
      </x:c>
      <x:c r="I28" s="65" t="n">
        <x:v>8</x:v>
      </x:c>
      <x:c r="J28" s="24" t="str">
        <x:v>US-023</x:v>
      </x:c>
      <x:c r="K28" s="24" t="str">
        <x:v>Een mobiele plaaslike klient lees status en verander veilige parameters in station/AP-modus; polling en logging bly spaarsaam en koersbegrens</x:v>
      </x:c>
      <x:c r="L28" s="24" t="str">
        <x:v>CHATOD-20260714-MCP-CP-MVP-001 / WIFI-RUNTIME-AMENDMENT-001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Post-MVP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Post-MVP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Post-MVP</x:v>
      </x:c>
      <x:c r="I31" s="65" t="n">
        <x:v>8</x:v>
      </x:c>
      <x:c r="J31" s="24" t="str">
        <x:v>US-024</x:v>
      </x:c>
      <x:c r="K31" s="24" t="str">
        <x:v>Vertroude-LAN/AP-grens, private credentials, sessielimiet, netwerkafskakeling en herstelpad is getoets</x:v>
      </x:c>
      <x:c r="L31" s="24" t="str">
        <x:v>CHATOD-20260714-MCP-CP-MVP-001 / WIFI-RUNTIME-AMENDMENT-001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Post-MVP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Post-MVP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Post-MVP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Post-MVP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Post-MVP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Post-MVP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Post-MVP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Post-MVP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Power, Safe Volume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MCP-US-021, MCP-US-075</x:v>
      </x:c>
      <x:c r="K51" s="24" t="str">
        <x:v>Power, speaker/headphone/line-out boundaries, gain or attenuation, mute, filtering, ESD and polarity protection are breadboarded and measured at documented safe test points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Pedal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Hardware Engineer and experienced KiCad Product Owner deliver schematic, PCB, footprints, test points and BOM; ERC, DRC, bring-up and manufacturing outputs pass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MVP-Enabler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Review</x:v>
      </x:c>
      <x:c r="G55" s="24" t="str">
        <x:v>Sprint 1</x:v>
      </x:c>
      <x:c r="H55" s="24" t="str">
        <x:v>MVP-Enabler (In Review)</x:v>
      </x:c>
      <x:c r="I55" s="65" t="n">
        <x:v>5</x:v>
      </x:c>
      <x:c r="J55" s="24" t="str">
        <x:v>US-003, US-016</x:v>
      </x:c>
      <x:c r="K55" s="24" t="str">
        <x:v>Deploy/closure/boot/import execution remains green; audio adapter adds rate-limited heap, reset and dropout burn-in telemetry</x:v>
      </x:c>
      <x:c r="L55" s="24" t="str">
        <x:v>CHATOD-20260714-MCP-CP-MVP-001 / MCP-US-051-IMP-001 / v0.11.1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Post-MVP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Post-MVP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Audible D1 Acceptance</x:v>
      </x:c>
      <x:c r="D59" s="24" t="str">
        <x:v>QA/Release</x:v>
      </x:c>
      <x:c r="E59" s="24" t="str">
        <x:v>Must</x:v>
      </x:c>
      <x:c r="F59" s="24" t="str">
        <x:v>In Review</x:v>
      </x:c>
      <x:c r="G59" s="24" t="str">
        <x:v>Sprint 3</x:v>
      </x:c>
      <x:c r="H59" s="24" t="str">
        <x:v>MVP-Must (HIL Retest Ready)</x:v>
      </x:c>
      <x:c r="I59" s="65" t="n">
        <x:v>5</x:v>
      </x:c>
      <x:c r="J59" s="24" t="str">
        <x:v>US-003, US-007, US-009, US-014, US-016, US-063, US-075</x:v>
      </x:c>
      <x:c r="K59" s="24" t="str">
        <x:v>v0.17.5 deploy op CIRCUITPY; 131 hosttoetse groen. HIL-rettoets: Logic/S2 Mini moet D1 hoorbaar speel; verwag D1_REALTIME_MIDI_NOTE en D1_AUDIO_EVENT=audible_note;mode=latched_tone.</x:v>
      </x:c>
      <x:c r="L59" s="24" t="str">
        <x:v>CHATOD-20260714-MCP-CP-MVP-001 / US-055-HIL-PASS-RECEIVED / v0.17.5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Post-MVP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MVP-Must</x:v>
      </x:c>
      <x:c r="I61" s="66" t="n">
        <x:v>5</x:v>
      </x:c>
      <x:c r="J61" s="25" t="str">
        <x:v>US-001 to US-009, US-014, US-016, US-050, US-051, US-055, US-063, US-075</x:v>
      </x:c>
      <x:c r="K61" s="25" t="str">
        <x:v>Tag, release notes, known limitations and a passing 8-hour burn-in report accompany the Logic-to-audible-D1 demo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Post-MVP</x:v>
      </x:c>
      <x:c r="I62" s="77" t="n">
        <x:v>5</x:v>
      </x:c>
      <x:c r="J62" s="83" t="str">
        <x:v>US-008, US-010</x:v>
      </x:c>
      <x:c r="K62" s="83" t="str">
        <x:v>Multi-kanaal note en per-kanaal bends behou onafhanklike string/slide-semantiek met konfigureerbare bend range</x:v>
      </x:c>
      <x:c r="L62" s="83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Post-MVP</x:v>
      </x:c>
      <x:c r="I63" s="78" t="n">
        <x:v>5</x:v>
      </x:c>
      <x:c r="J63" s="83" t="str">
        <x:v>US-018, US-058</x:v>
      </x:c>
      <x:c r="K63" s="83" t="str">
        <x:v>'n Generiese MIDI-kitaar en Fishman-verwysing speel note, akkoorde, bends en slides; geen toestelnaam is 'n kodekonstante nie</x:v>
      </x:c>
      <x:c r="L63" s="83" t="str">
        <x:v>CHATOD-20260714-MCP-CP-MVP-001 / MCP-US-059</x:v>
      </x:c>
    </x:row>
    <x:row r="64" ht="34" customHeight="1">
      <x:c r="A64" s="83" t="str">
        <x:v>MCP-US-060</x:v>
      </x:c>
      <x:c r="B64" s="83" t="str">
        <x:v>MCP-EPIC-008</x:v>
      </x:c>
      <x:c r="C64" s="83" t="str">
        <x:v>Standalone External MIDI Host Acceptance</x:v>
      </x:c>
      <x:c r="D64" s="83" t="str">
        <x:v>QA/Release</x:v>
      </x:c>
      <x:c r="E64" s="83" t="str">
        <x:v>Must</x:v>
      </x:c>
      <x:c r="F64" s="83" t="str">
        <x:v>Backlog</x:v>
      </x:c>
      <x:c r="G64" s="83" t="str">
        <x:v>Release train</x:v>
      </x:c>
      <x:c r="H64" s="83" t="str">
        <x:v>Post-MVP</x:v>
      </x:c>
      <x:c r="I64" s="83" t="n">
        <x:v>5</x:v>
      </x:c>
      <x:c r="J64" s="83" t="str">
        <x:v>US-013, US-017</x:v>
      </x:c>
      <x:c r="K64" s="83" t="str">
        <x:v>Controller na Raspberry Pi/eksterne USB-host na DIN/UART lewer note, bend en clock sonder DAW</x:v>
      </x:c>
      <x:c r="L64" s="83" t="str">
        <x:v>CHATOD-20260714-MCP-CP-MVP-001 / MIDI-TRANSPORT-MULTICORE-AMENDMENT-001 / MCP-US-060</x:v>
      </x:c>
    </x:row>
    <x:row r="65" ht="34" customHeight="1">
      <x:c r="A65" s="83" t="str">
        <x:v>MCP-US-061</x:v>
      </x:c>
      <x:c r="B65" s="83" t="str">
        <x:v>MCP-EPIC-006</x:v>
      </x:c>
      <x:c r="C65" s="83" t="str">
        <x:v>Multi-Core Resource Guard And Telemetry</x:v>
      </x:c>
      <x:c r="D65" s="83" t="str">
        <x:v>DSP/Chip Engineer</x:v>
      </x:c>
      <x:c r="E65" s="83" t="str">
        <x:v>Must</x:v>
      </x:c>
      <x:c r="F65" s="83" t="str">
        <x:v>Backlog</x:v>
      </x:c>
      <x:c r="G65" s="83" t="str">
        <x:v>MVP-late</x:v>
      </x:c>
      <x:c r="H65" s="83" t="str">
        <x:v>Post-MVP</x:v>
      </x:c>
      <x:c r="I65" s="83" t="n">
        <x:v>5</x:v>
      </x:c>
      <x:c r="J65" s="83" t="str">
        <x:v>US-037</x:v>
      </x:c>
      <x:c r="K65" s="83" t="str">
        <x:v>Heap, looplatensie en dropout word gemeet; onveilige addisionele kern word deterministies geweier of afgeskakel</x:v>
      </x:c>
      <x:c r="L65" s="83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Impediment</x:v>
      </x:c>
      <x:c r="G66" s="83" t="str">
        <x:v>Sprint 4</x:v>
      </x:c>
      <x:c r="H66" s="83" t="str">
        <x:v>Post-MVP</x:v>
      </x:c>
      <x:c r="I66" s="83" t="n">
        <x:v>8</x:v>
      </x:c>
      <x:c r="J66" s="83" t="str">
        <x:v>US-006, US-007, US-052</x:v>
      </x:c>
      <x:c r="K66" s="83" t="str">
        <x:v>S2-negatiewe gate aanvaar; positiewe BLE-HIL wag op 'n werklike BLE-bord</x:v>
      </x:c>
      <x:c r="L66" s="83" t="str">
        <x:v>CHATOD-20260714-MCP-CP-MVP-001 / MCP-US-062 / S2-NEGATIVE-ACCEPTED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Done</x:v>
      </x:c>
      <x:c r="G67" s="83" t="str">
        <x:v>Sprint 3</x:v>
      </x:c>
      <x:c r="H67" s="83" t="str">
        <x:v>MVP-Must</x:v>
      </x:c>
      <x:c r="I67" s="83" t="n">
        <x:v>8</x:v>
      </x:c>
      <x:c r="J67" s="83" t="str">
        <x:v>US-006, US-008, US-009, US-014, US-016</x:v>
      </x:c>
      <x:c r="K67" s="83" t="str">
        <x:v>Product Owner accepted v0.15.0 d1-diagnose: sine, saw and square, A4=440Hz, velocity and final PASS; audible Logic/I2S remains US-055 after US-075</x:v>
      </x:c>
      <x:c r="L67" s="83" t="str">
        <x:v>CHATOD-20260714-MCP-CP-MVP-001 / MCP-US-063-HOST-ACCEPTED-001 / v0.15.0</x:v>
      </x:c>
    </x:row>
    <x:row r="68" ht="48" customHeight="1">
      <x:c r="A68" s="140" t="str">
        <x:v>MCP-US-064</x:v>
      </x:c>
      <x:c r="B68" s="140" t="str">
        <x:v>MCP-EPIC-009</x:v>
      </x:c>
      <x:c r="C68" s="140" t="str">
        <x:v>Enterprise Vision And Architecture Baseline</x:v>
      </x:c>
      <x:c r="D68" s="140" t="str">
        <x:v>Chief Enterprise Architect</x:v>
      </x:c>
      <x:c r="E68" s="140" t="str">
        <x:v>Must</x:v>
      </x:c>
      <x:c r="F68" s="140" t="str">
        <x:v>Done</x:v>
      </x:c>
      <x:c r="G68" s="140" t="str">
        <x:v>Sprint 2</x:v>
      </x:c>
      <x:c r="H68" s="140" t="str">
        <x:v>Done</x:v>
      </x:c>
      <x:c r="I68" s="140" t="n">
        <x:v>5</x:v>
      </x:c>
      <x:c r="J68" s="140" t="str">
        <x:v>US-001, US-002</x:v>
      </x:c>
      <x:c r="K68" s="140" t="str">
        <x:v>Enterprise vision plus framework, solution and deployment architecture form one cross-linked baseline</x:v>
      </x:c>
      <x:c r="L68" s="140" t="str">
        <x:v>CHATOD-20260714-MCP-CP-MVP-001 / FRAMEWORK-ENGINEERING-001 / MCP-US-064</x:v>
      </x:c>
    </x:row>
    <x:row r="69" ht="48" customHeight="1">
      <x:c r="A69" s="127" t="str">
        <x:v>MCP-US-065</x:v>
      </x:c>
      <x:c r="B69" s="127" t="str">
        <x:v>MCP-EPIC-009</x:v>
      </x:c>
      <x:c r="C69" s="127" t="str">
        <x:v>Enterprise Meta Model, Glossary And Artefact Taxonomy</x:v>
      </x:c>
      <x:c r="D69" s="127" t="str">
        <x:v>Framework Engineer</x:v>
      </x:c>
      <x:c r="E69" s="127" t="str">
        <x:v>Must</x:v>
      </x:c>
      <x:c r="F69" s="127" t="str">
        <x:v>Done</x:v>
      </x:c>
      <x:c r="G69" s="127" t="str">
        <x:v>Sprint 2</x:v>
      </x:c>
      <x:c r="H69" s="127" t="str">
        <x:v>Done</x:v>
      </x:c>
      <x:c r="I69" s="127" t="n">
        <x:v>5</x:v>
      </x:c>
      <x:c r="J69" s="127" t="str">
        <x:v>US-064</x:v>
      </x:c>
      <x:c r="K69" s="127" t="str">
        <x:v>Roles, stories, components, tests, risks and decisions have named relationships and owners</x:v>
      </x:c>
      <x:c r="L69" s="127" t="str">
        <x:v>CHATOD-20260714-MCP-CP-MVP-001 / FRAMEWORK-ENGINEERING-001 / MCP-US-065</x:v>
      </x:c>
    </x:row>
    <x:row r="70" ht="48" customHeight="1">
      <x:c r="A70" s="140" t="str">
        <x:v>MCP-US-066</x:v>
      </x:c>
      <x:c r="B70" s="140" t="str">
        <x:v>MCP-EPIC-009</x:v>
      </x:c>
      <x:c r="C70" s="140" t="str">
        <x:v>Quality Manual, Test Strategy And Review Engine</x:v>
      </x:c>
      <x:c r="D70" s="140" t="str">
        <x:v>QA/Release</x:v>
      </x:c>
      <x:c r="E70" s="140" t="str">
        <x:v>Must</x:v>
      </x:c>
      <x:c r="F70" s="140" t="str">
        <x:v>Done</x:v>
      </x:c>
      <x:c r="G70" s="140" t="str">
        <x:v>Sprint 2</x:v>
      </x:c>
      <x:c r="H70" s="140" t="str">
        <x:v>Done</x:v>
      </x:c>
      <x:c r="I70" s="140" t="n">
        <x:v>5</x:v>
      </x:c>
      <x:c r="J70" s="140" t="str">
        <x:v>US-064, US-065</x:v>
      </x:c>
      <x:c r="K70" s="140" t="str">
        <x:v>Definition of Done points to repeatable quality, test and review gates without treating docs as proof</x:v>
      </x:c>
      <x:c r="L70" s="140" t="str">
        <x:v>CHATOD-20260714-MCP-CP-MVP-001 / FRAMEWORK-ENGINEERING-001 / MCP-US-066</x:v>
      </x:c>
    </x:row>
    <x:row r="71" ht="48" customHeight="1">
      <x:c r="A71" s="127" t="str">
        <x:v>MCP-US-067</x:v>
      </x:c>
      <x:c r="B71" s="127" t="str">
        <x:v>MCP-EPIC-009</x:v>
      </x:c>
      <x:c r="C71" s="127" t="str">
        <x:v>Prompt Compiler, Context Loader And Knowledge Base Structure</x:v>
      </x:c>
      <x:c r="D71" s="127" t="str">
        <x:v>Framework Engineer</x:v>
      </x:c>
      <x:c r="E71" s="127" t="str">
        <x:v>Should</x:v>
      </x:c>
      <x:c r="F71" s="127" t="str">
        <x:v>Done</x:v>
      </x:c>
      <x:c r="G71" s="127" t="str">
        <x:v>Sprint 2</x:v>
      </x:c>
      <x:c r="H71" s="127" t="str">
        <x:v>Done</x:v>
      </x:c>
      <x:c r="I71" s="127" t="n">
        <x:v>5</x:v>
      </x:c>
      <x:c r="J71" s="127" t="str">
        <x:v>US-065, US-066</x:v>
      </x:c>
      <x:c r="K71" s="127" t="str">
        <x:v>Agents load minimal authoritative context and produce traceable story packages without runtime LLM dependency</x:v>
      </x:c>
      <x:c r="L71" s="127" t="str">
        <x:v>CHATOD-20260714-MCP-CP-MVP-001 / FRAMEWORK-ENGINEERING-001 / MCP-US-067</x:v>
      </x:c>
    </x:row>
    <x:row r="72" ht="48" customHeight="1">
      <x:c r="A72" s="140" t="str">
        <x:v>MCP-US-068</x:v>
      </x:c>
      <x:c r="B72" s="140" t="str">
        <x:v>MCP-EPIC-008</x:v>
      </x:c>
      <x:c r="C72" s="140" t="str">
        <x:v>Stable USB MIDI Instance Identity</x:v>
      </x:c>
      <x:c r="D72" s="140" t="str">
        <x:v>Embedded/Release</x:v>
      </x:c>
      <x:c r="E72" s="140" t="str">
        <x:v>Must</x:v>
      </x:c>
      <x:c r="F72" s="140" t="str">
        <x:v>Backlog</x:v>
      </x:c>
      <x:c r="G72" s="140" t="str">
        <x:v>Release train</x:v>
      </x:c>
      <x:c r="H72" s="140" t="str">
        <x:v>Post-MVP</x:v>
      </x:c>
      <x:c r="I72" s="140" t="n">
        <x:v>5</x:v>
      </x:c>
      <x:c r="J72" s="140" t="str">
        <x:v>US-003, US-004, US-055</x:v>
      </x:c>
      <x:c r="K72" s="140" t="str">
        <x:v>Each device exposes a recognizable product name plus stable four-character instance ID; two devices are distinguishable without UID/MAC leakage</x:v>
      </x:c>
      <x:c r="L72" s="140" t="str">
        <x:v>CHATOD-20260714-MCP-CP-MVP-001 / MCP-US-007-ACCEPTANCE / MCP-US-068</x:v>
      </x:c>
    </x:row>
    <x:row r="73" ht="52" customHeight="1">
      <x:c r="A73" s="127" t="str">
        <x:v>MCP-US-069</x:v>
      </x:c>
      <x:c r="B73" s="127" t="str">
        <x:v>MCP-EPIC-010</x:v>
      </x:c>
      <x:c r="C73" s="127" t="str">
        <x:v>External I2C Status Display Adapter</x:v>
      </x:c>
      <x:c r="D73" s="127" t="str">
        <x:v>Embedded/Web</x:v>
      </x:c>
      <x:c r="E73" s="127" t="str">
        <x:v>Should</x:v>
      </x:c>
      <x:c r="F73" s="127" t="str">
        <x:v>Backlog</x:v>
      </x:c>
      <x:c r="G73" s="127" t="str">
        <x:v>Post-MVP</x:v>
      </x:c>
      <x:c r="H73" s="127" t="str">
        <x:v>Later</x:v>
      </x:c>
      <x:c r="I73" s="127" t="n">
        <x:v>5</x:v>
      </x:c>
      <x:c r="J73" s="127" t="str">
        <x:v>US-004, US-022</x:v>
      </x:c>
      <x:c r="K73" s="127" t="str">
        <x:v>Capability-gated SSD1306/similar display shows rate-limited status; absence never changes synth behavior</x:v>
      </x:c>
      <x:c r="L73" s="127" t="str">
        <x:v>CHATOD-20260714-MCP-CP-MVP-001 / MCP-US-007-ACCEPTANCE-START / MCP-US-069</x:v>
      </x:c>
    </x:row>
    <x:row r="74" ht="52" customHeight="1">
      <x:c r="A74" s="140" t="str">
        <x:v>MCP-US-070</x:v>
      </x:c>
      <x:c r="B74" s="140" t="str">
        <x:v>MCP-EPIC-010</x:v>
      </x:c>
      <x:c r="C74" s="140" t="str">
        <x:v>Physical Chip Transport And Capability Abstraction</x:v>
      </x:c>
      <x:c r="D74" s="140" t="str">
        <x:v>Solution Architect</x:v>
      </x:c>
      <x:c r="E74" s="140" t="str">
        <x:v>Should</x:v>
      </x:c>
      <x:c r="F74" s="140" t="str">
        <x:v>Backlog</x:v>
      </x:c>
      <x:c r="G74" s="140" t="str">
        <x:v>Post-MVP</x:v>
      </x:c>
      <x:c r="H74" s="140" t="str">
        <x:v>Later</x:v>
      </x:c>
      <x:c r="I74" s="140" t="n">
        <x:v>8</x:v>
      </x:c>
      <x:c r="J74" s="140" t="str">
        <x:v>US-004, US-034</x:v>
      </x:c>
      <x:c r="K74" s="140" t="str">
        <x:v>Class-based GPIO, I2C-expander and SPI transport ports are capability-gated without chip or pin constants</x:v>
      </x:c>
      <x:c r="L74" s="140" t="str">
        <x:v>CHATOD-20260714-MCP-CP-MVP-001 / MCP-US-007-ACCEPTANCE-START / MCP-US-070</x:v>
      </x:c>
    </x:row>
    <x:row r="75" ht="52" customHeight="1">
      <x:c r="A75" s="127" t="str">
        <x:v>MCP-US-071</x:v>
      </x:c>
      <x:c r="B75" s="127" t="str">
        <x:v>MCP-EPIC-010</x:v>
      </x:c>
      <x:c r="C75" s="127" t="str">
        <x:v>Physical SN76489 Hardware Adapter</x:v>
      </x:c>
      <x:c r="D75" s="127" t="str">
        <x:v>DSP/Chip Engineer</x:v>
      </x:c>
      <x:c r="E75" s="127" t="str">
        <x:v>Should</x:v>
      </x:c>
      <x:c r="F75" s="127" t="str">
        <x:v>Backlog</x:v>
      </x:c>
      <x:c r="G75" s="127" t="str">
        <x:v>Post-MVP</x:v>
      </x:c>
      <x:c r="H75" s="127" t="str">
        <x:v>Later</x:v>
      </x:c>
      <x:c r="I75" s="127" t="n">
        <x:v>8</x:v>
      </x:c>
      <x:c r="J75" s="127" t="str">
        <x:v>US-017, US-070</x:v>
      </x:c>
      <x:c r="K75" s="127" t="str">
        <x:v>Verified chip identity, levels, clock and bus sequences drive hardware; failures fall back to emulation</x:v>
      </x:c>
      <x:c r="L75" s="127" t="str">
        <x:v>CHATOD-20260714-MCP-CP-MVP-001 / MCP-US-007-ACCEPTANCE-START / MCP-US-071</x:v>
      </x:c>
    </x:row>
    <x:row r="76" ht="52" customHeight="1">
      <x:c r="A76" s="140" t="str">
        <x:v>MCP-US-072</x:v>
      </x:c>
      <x:c r="B76" s="140" t="str">
        <x:v>MCP-EPIC-010</x:v>
      </x:c>
      <x:c r="C76" s="140" t="str">
        <x:v>Physical SID6581 Feasibility And Adapter</x:v>
      </x:c>
      <x:c r="D76" s="140" t="str">
        <x:v>DSP/Chip Engineer</x:v>
      </x:c>
      <x:c r="E76" s="140" t="str">
        <x:v>Should</x:v>
      </x:c>
      <x:c r="F76" s="140" t="str">
        <x:v>Backlog</x:v>
      </x:c>
      <x:c r="G76" s="140" t="str">
        <x:v>Post-MVP</x:v>
      </x:c>
      <x:c r="H76" s="140" t="str">
        <x:v>Later</x:v>
      </x:c>
      <x:c r="I76" s="140" t="n">
        <x:v>13</x:v>
      </x:c>
      <x:c r="J76" s="140" t="str">
        <x:v>US-038, US-070</x:v>
      </x:c>
      <x:c r="K76" s="140" t="str">
        <x:v>Power, levels, clock, register bus and analog output receive a measured go/no-go before implementation</x:v>
      </x:c>
      <x:c r="L76" s="140" t="str">
        <x:v>CHATOD-20260714-MCP-CP-MVP-001 / MCP-US-007-ACCEPTANCE-START / MCP-US-072</x:v>
      </x:c>
    </x:row>
    <x:row r="77" ht="52" customHeight="1">
      <x:c r="A77" s="127" t="str">
        <x:v>MCP-US-073</x:v>
      </x:c>
      <x:c r="B77" s="127" t="str">
        <x:v>MCP-EPIC-010</x:v>
      </x:c>
      <x:c r="C77" s="127" t="str">
        <x:v>ArduinoOPL2 SPI Hardware Adapter</x:v>
      </x:c>
      <x:c r="D77" s="127" t="str">
        <x:v>DSP/Chip Engineer</x:v>
      </x:c>
      <x:c r="E77" s="127" t="str">
        <x:v>Should</x:v>
      </x:c>
      <x:c r="F77" s="127" t="str">
        <x:v>Backlog</x:v>
      </x:c>
      <x:c r="G77" s="127" t="str">
        <x:v>Post-MVP</x:v>
      </x:c>
      <x:c r="H77" s="127" t="str">
        <x:v>Later</x:v>
      </x:c>
      <x:c r="I77" s="127" t="n">
        <x:v>8</x:v>
      </x:c>
      <x:c r="J77" s="127" t="str">
        <x:v>US-041, US-070</x:v>
      </x:c>
      <x:c r="K77" s="127" t="str">
        <x:v>DhrBaksteen SPI contract and license are reviewed and verified by real HIL without coupling bus and emulator logic</x:v>
      </x:c>
      <x:c r="L77" s="127" t="str">
        <x:v>CHATOD-20260714-MCP-CP-MVP-001 / MCP-US-007-ACCEPTANCE-START / MCP-US-073</x:v>
      </x:c>
    </x:row>
    <x:row r="78" ht="52" customHeight="1">
      <x:c r="A78" s="140" t="str">
        <x:v>MCP-US-074</x:v>
      </x:c>
      <x:c r="B78" s="140" t="str">
        <x:v>MCP-EPIC-010</x:v>
      </x:c>
      <x:c r="C78" s="140" t="str">
        <x:v>Emulated Or Physical Core Backend Selection And Fallback</x:v>
      </x:c>
      <x:c r="D78" s="140" t="str">
        <x:v>Solution Architect/DSP</x:v>
      </x:c>
      <x:c r="E78" s="140" t="str">
        <x:v>Should</x:v>
      </x:c>
      <x:c r="F78" s="140" t="str">
        <x:v>Backlog</x:v>
      </x:c>
      <x:c r="G78" s="140" t="str">
        <x:v>Post-MVP</x:v>
      </x:c>
      <x:c r="H78" s="140" t="str">
        <x:v>Later</x:v>
      </x:c>
      <x:c r="I78" s="140" t="n">
        <x:v>8</x:v>
      </x:c>
      <x:c r="J78" s="140" t="str">
        <x:v>US-034, US-070, one physical adapter</x:v>
      </x:c>
      <x:c r="K78" s="140" t="str">
        <x:v>Config/web selects emulated or physical per core; emulation is default/fallback and physical mode avoids duplicate rendering</x:v>
      </x:c>
      <x:c r="L78" s="140" t="str">
        <x:v>CHATOD-20260714-MCP-CP-MVP-001 / MCP-US-007-ACCEPTANCE-START / MCP-US-074</x:v>
      </x:c>
    </x:row>
    <x:row r="79">
      <x:c r="A79" t="str">
        <x:v>MCP-US-075</x:v>
      </x:c>
      <x:c r="B79" t="str">
        <x:v>MCP-EPIC-007</x:v>
      </x:c>
      <x:c r="C79" t="str">
        <x:v>Safe Development Audio Load And Volume Gate</x:v>
      </x:c>
      <x:c r="D79" t="str">
        <x:v>Hardware/DSP</x:v>
      </x:c>
      <x:c r="E79" t="str">
        <x:v>Must</x:v>
      </x:c>
      <x:c r="F79" t="str">
        <x:v>Done</x:v>
      </x:c>
      <x:c r="G79" t="str">
        <x:v>Sprint 3</x:v>
      </x:c>
      <x:c r="H79" t="str">
        <x:v>MVP-Enabler (Done; PO exception)</x:v>
      </x:c>
      <x:c r="I79" t="n">
        <x:v>5</x:v>
      </x:c>
      <x:c r="J79" t="str">
        <x:v>US-016</x:v>
      </x:c>
      <x:c r="K79" t="str">
        <x:v>HIL: G-C-D hoorbaar via MAX98357A; PO aanvaar cheap TRS-headphone prototype risk; no production safety claim</x:v>
      </x:c>
      <x:c r="L79" t="str">
        <x:v>CHATOD-20260714-MCP-CP-MVP-001 / MCP-US-075-PO-EXCEPTION-ACCEPTED</x:v>
      </x:c>
    </x:row>
    <x:row r="80">
      <x:c r="A80" t="str">
        <x:v>MCP-US-076</x:v>
      </x:c>
      <x:c r="B80" t="str">
        <x:v>MCP-EPIC-007</x:v>
      </x:c>
      <x:c r="C80" t="str">
        <x:v>Certified Speaker, Headphone And Pedal Output Cleanup</x:v>
      </x:c>
      <x:c r="D80" t="str">
        <x:v>Hardware/DSP</x:v>
      </x:c>
      <x:c r="E80" t="str">
        <x:v>Should</x:v>
      </x:c>
      <x:c r="F80" t="str">
        <x:v>Backlog</x:v>
      </x:c>
      <x:c r="G80" t="str">
        <x:v>Post-MVP</x:v>
      </x:c>
      <x:c r="H80" t="str">
        <x:v>Later</x:v>
      </x:c>
      <x:c r="I80" t="n">
        <x:v>8</x:v>
      </x:c>
      <x:c r="J80" t="str">
        <x:v>US-047, US-075</x:v>
      </x:c>
      <x:c r="K80" t="str">
        <x:v>Gescheiden speaker/headphone/line-out ontwerp, load profiles, volume hardware en KiCad guidance zijn gevalideerd</x:v>
      </x:c>
      <x:c r="L80" t="str">
        <x:v>CHATOD-20260714-MCP-CP-MVP-001 / MCP-US-075-PO-EXCEPTION-ACCEPTED / MCP-US-076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7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  <x:dataValidation type="list" sqref="F5:F67">
      <x:formula1>"Backlog,Ready,In Progress,Impediment,In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a25b59b453431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COUNTIF('Backlog'!$B$5:$B$200,A5)</x:f>
        <x:v>5</x:v>
      </x:c>
      <x:c r="D5" s="64" t="n">
        <x:f>COUNTIFS('Backlog'!$B$5:$B$200,A5,'Backlog'!$E$5:$E$200,"Must")</x:f>
        <x:v>4</x:v>
      </x:c>
      <x:c r="E5" s="64" t="n">
        <x:f>COUNTIFS('Backlog'!$B$5:$B$200,A5,'Backlog'!$F$5:$F$200,"Done")</x:f>
        <x:v>5</x:v>
      </x:c>
      <x:c r="F5" s="23" t="str">
        <x:v>MVP enablers: safe boot, board profile and configuration boundary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COUNTIF('Backlog'!$B$5:$B$200,A6)</x:f>
        <x:v>10</x:v>
      </x:c>
      <x:c r="D6" s="65" t="n">
        <x:f>COUNTIFS('Backlog'!$B$5:$B$200,A6,'Backlog'!$E$5:$E$200,"Must")</x:f>
        <x:v>10</x:v>
      </x:c>
      <x:c r="E6" s="65" t="n">
        <x:f>COUNTIFS('Backlog'!$B$5:$B$200,A6,'Backlog'!$F$5:$F$200,"Done")</x:f>
        <x:v>4</x:v>
      </x:c>
      <x:c r="F6" s="24" t="str">
        <x:v>MVP USB-MIDI/Note semantics; clock, BLE, DIN and guitar expression post-MVP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COUNTIF('Backlog'!$B$5:$B$200,A7)</x:f>
        <x:v>9</x:v>
      </x:c>
      <x:c r="D7" s="65" t="n">
        <x:f>COUNTIFS('Backlog'!$B$5:$B$200,A7,'Backlog'!$E$5:$E$200,"Must")</x:f>
        <x:v>9</x:v>
      </x:c>
      <x:c r="E7" s="65" t="n">
        <x:f>COUNTIFS('Backlog'!$B$5:$B$200,A7,'Backlog'!$F$5:$F$200,"Done")</x:f>
        <x:v>3</x:v>
      </x:c>
      <x:c r="F7" s="24" t="str">
        <x:v>Standalone I2S preflight and D1 first; SN76489/SID/OPL/stereo post-MVP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COUNTIF('Backlog'!$B$5:$B$200,A8)</x:f>
        <x:v>6</x:v>
      </x:c>
      <x:c r="D8" s="65" t="n">
        <x:f>COUNTIFS('Backlog'!$B$5:$B$200,A8,'Backlog'!$E$5:$E$200,"Must")</x:f>
        <x:v>6</x:v>
      </x:c>
      <x:c r="E8" s="65" t="n">
        <x:f>COUNTIFS('Backlog'!$B$5:$B$200,A8,'Backlog'!$F$5:$F$200,"Done")</x:f>
        <x:v>0</x:v>
      </x:c>
      <x:c r="F8" s="24" t="str">
        <x:v>Mobile-first webbeheer, station-IP, beveiligde AP-fallback en recovery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COUNTIF('Backlog'!$B$5:$B$200,A9)</x:f>
        <x:v>6</x:v>
      </x:c>
      <x:c r="D9" s="65" t="n">
        <x:f>COUNTIFS('Backlog'!$B$5:$B$200,A9,'Backlog'!$E$5:$E$200,"Must")</x:f>
        <x:v>1</x:v>
      </x:c>
      <x:c r="E9" s="65" t="n">
        <x:f>COUNTIFS('Backlog'!$B$5:$B$200,A9,'Backlog'!$F$5:$F$200,"Done")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COUNTIF('Backlog'!$B$5:$B$200,A10)</x:f>
        <x:v>10</x:v>
      </x:c>
      <x:c r="D10" s="65" t="n">
        <x:f>COUNTIFS('Backlog'!$B$5:$B$200,A10,'Backlog'!$E$5:$E$200,"Must")</x:f>
        <x:v>5</x:v>
      </x:c>
      <x:c r="E10" s="65" t="n">
        <x:f>COUNTIFS('Backlog'!$B$5:$B$200,A10,'Backlog'!$F$5:$F$200,"Done")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v>8</x:v>
      </x:c>
      <x:c r="D11" s="65" t="n">
        <x:v>4</x:v>
      </x:c>
      <x:c r="E11" s="65" t="n">
        <x:f>COUNTIFS('Backlog'!$B$5:$B$200,A11,'Backlog'!$F$5:$F$200,"Done")</x:f>
        <x:v>1</x:v>
      </x:c>
      <x:c r="F11" s="24" t="str">
        <x:v>Safe audio load and volume gate first; pedal power, protection, enclosure and KiCad hardware follow after MVP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COUNTIF('Backlog'!$B$5:$B$200,A12)</x:f>
        <x:v>11</x:v>
      </x:c>
      <x:c r="D12" s="66" t="n">
        <x:f>COUNTIFS('Backlog'!$B$5:$B$200,A12,'Backlog'!$E$5:$E$200,"Must")</x:f>
        <x:v>10</x:v>
      </x:c>
      <x:c r="E12" s="66" t="n">
        <x:f>COUNTIFS('Backlog'!$B$5:$B$200,A12,'Backlog'!$F$5:$F$200,"Done")</x:f>
        <x:v>0</x:v>
      </x:c>
      <x:c r="F12" s="25" t="str">
        <x:v>MVP host/HIL and audible Logic acceptance; cross-platform polish post-MVP</x:v>
      </x:c>
    </x:row>
    <x:row r="13" ht="44" customHeight="1">
      <x:c r="A13" s="128" t="str">
        <x:v>MCP-EPIC-009</x:v>
      </x:c>
      <x:c r="B13" s="128" t="str">
        <x:v>Framework Engineering</x:v>
      </x:c>
      <x:c r="C13" s="128" t="n">
        <x:f>COUNTIF('Backlog'!$B$5:$B$200,A13)</x:f>
        <x:v>4</x:v>
      </x:c>
      <x:c r="D13" s="128" t="n">
        <x:f>COUNTIFS('Backlog'!$B$5:$B$200,A13,'Backlog'!$E$5:$E$200,"Must")</x:f>
        <x:v>3</x:v>
      </x:c>
      <x:c r="E13" s="128" t="n">
        <x:f>COUNTIFS('Backlog'!$B$5:$B$200,A13,'Backlog'!$F$5:$F$200,"Done")</x:f>
        <x:v>4</x:v>
      </x:c>
      <x:c r="F13" s="128" t="str">
        <x:v>Vision, architecture, meta model, quality and controlled agent context</x:v>
      </x:c>
    </x:row>
    <x:row r="14" ht="48" customHeight="1">
      <x:c r="A14" s="138" t="str">
        <x:v>MCP-EPIC-010</x:v>
      </x:c>
      <x:c r="B14" s="138" t="str">
        <x:v>Physical Chip And Display Expansion</x:v>
      </x:c>
      <x:c r="C14" s="138" t="n">
        <x:f>COUNTIF('Backlog'!$B$5:$B$200,A14)</x:f>
        <x:v>6</x:v>
      </x:c>
      <x:c r="D14" s="138" t="n">
        <x:f>COUNTIFS('Backlog'!$B$5:$B$200,A14,'Backlog'!$E$5:$E$200,"Must")</x:f>
        <x:v>0</x:v>
      </x:c>
      <x:c r="E14" s="138" t="n">
        <x:f>COUNTIFS('Backlog'!$B$5:$B$200,A14,'Backlog'!$F$5:$F$200,"Done")</x:f>
        <x:v>0</x:v>
      </x:c>
      <x:c r="F14" s="138" t="str">
        <x:v>Post-MVP displays and physical SN76489/SID/OPL2 backends with emulation fallback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805b39e6d21414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34 geregistreerde risiko's; I2S-profieldrift en langdurige heap/resource-lekke word eksplisiet beheer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US-004 bevestig IO5/IO3/IO7 en audiobusio; MAX98357 klank-HIL volg in US-016</x:v>
      </x:c>
      <x:c r="G9" s="24" t="str">
        <x:v>Controlled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exceeds CPU/RAM and affects audio</x:v>
      </x:c>
      <x:c r="C13" s="24" t="str">
        <x:v>High</x:v>
      </x:c>
      <x:c r="D13" s="24" t="str">
        <x:v>High</x:v>
      </x:c>
      <x:c r="E13" s="24" t="str">
        <x:v>DSP/Architect</x:v>
      </x:c>
      <x:c r="F13" s="24" t="str">
        <x:v>Close single-core D1 MVP first; measure each post-MVP multi-core expansion and reject unsafe capacity deterministically</x:v>
      </x:c>
      <x:c r="G13" s="24" t="str">
        <x:v>Post-MVP - risk accepted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Directe TRS/headphone of verkeerde load kan MAX98357A, koptelefoon of gehoor beschadigen</x:v>
      </x:c>
      <x:c r="C17" s="24" t="str">
        <x:v>Hoog</x:v>
      </x:c>
      <x:c r="D17" s="24" t="str">
        <x:v>Middel</x:v>
      </x:c>
      <x:c r="E17" s="24" t="str">
        <x:v>US-075 begrenst amplitude/software-startup; PO accepteert prototype met goedkope TRS-koptelefoon. Productieclaim blijft verboden tot US-076.</x:v>
      </x:c>
      <x:c r="F17" s="24" t="str">
        <x:v>Aanvaard voor prototype; US-076 cleanup</x:v>
      </x:c>
      <x:c r="G17" s="24" t="str">
        <x:v>CHATOD-20260714-MCP-CP-MVP-001 / MCP-US-075-PO-EXCEPTION-ACCEPTED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Backup; dependency-closed 16-lêer manifest; nie-destruktiewe deploy; hash- en import-proof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Primary ESP32-S2 has no native BLE support</x:v>
      </x:c>
      <x:c r="C27" s="83" t="str">
        <x:v>High</x:v>
      </x:c>
      <x:c r="D27" s="83" t="str">
        <x:v>Medium</x:v>
      </x:c>
      <x:c r="E27" s="83" t="str">
        <x:v>Architect/Embedded</x:v>
      </x:c>
      <x:c r="F27" s="83" t="str">
        <x:v>BLE is post-MVP; capability gate keeps USB stable; later select a BLE-capable board in US-052/062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  <x:row r="30" ht="52" customHeight="1">
      <x:c r="A30" s="83" t="str">
        <x:v>R-026</x:v>
      </x:c>
      <x:c r="B30" s="83" t="str">
        <x:v>Fallback access point is oop, voorspelbaar of lek credentials/klientidentiteit</x:v>
      </x:c>
      <x:c r="C30" s="83" t="str">
        <x:v>Medium</x:v>
      </x:c>
      <x:c r="D30" s="83" t="str">
        <x:v>Critical</x:v>
      </x:c>
      <x:c r="E30" s="83" t="str">
        <x:v>Security/Web</x:v>
      </x:c>
      <x:c r="F30" s="83" t="str">
        <x:v>Beveiligde AP; private provisioning; geen geheime, MAC's of unieke ID's in logs/repo</x:v>
      </x:c>
      <x:c r="G30" s="83" t="str">
        <x:v>Open</x:v>
      </x:c>
    </x:row>
    <x:row r="31" ht="52" customHeight="1">
      <x:c r="A31" s="83" t="str">
        <x:v>R-027</x:v>
      </x:c>
      <x:c r="B31" s="83" t="str">
        <x:v>Onbegrensde join/reconnect, HTTP polling of debuglogging veroorsaak dropout, RAM-druk of flashslytasie</x:v>
      </x:c>
      <x:c r="C31" s="83" t="str">
        <x:v>High</x:v>
      </x:c>
      <x:c r="D31" s="83" t="str">
        <x:v>High</x:v>
      </x:c>
      <x:c r="E31" s="83" t="str">
        <x:v>Embedded/Web/QA</x:v>
      </x:c>
      <x:c r="F31" s="83" t="str">
        <x:v>Timeout/backoff; cooperative poll; een klient; debug af; koersbegrensde serial logging; geen normale flashlog</x:v>
      </x:c>
      <x:c r="G31" s="83" t="str">
        <x:v>Open</x:v>
      </x:c>
    </x:row>
    <x:row r="32" ht="44" customHeight="1">
      <x:c r="A32" s="83" t="str">
        <x:v>R-028</x:v>
      </x:c>
      <x:c r="B32" s="83" t="str">
        <x:v>Programmatiese harde reset laat USB soms sonder CIRCUITPY/CDC-herenumerasie</x:v>
      </x:c>
      <x:c r="C32" s="83" t="str">
        <x:v>Medium</x:v>
      </x:c>
      <x:c r="D32" s="83" t="str">
        <x:v>High</x:v>
      </x:c>
      <x:c r="E32" s="83" t="str">
        <x:v>Embedded/QA</x:v>
      </x:c>
      <x:c r="F32" s="83" t="str">
        <x:v>Fisiese power-cycle herstel volume/REPL; recovery-runbook en finale manifest-HIL is bewys</x:v>
      </x:c>
      <x:c r="G32" s="83" t="str">
        <x:v>Controlled</x:v>
      </x:c>
    </x:row>
    <x:row r="33">
      <x:c r="A33" t="str">
        <x:v>R-029</x:v>
      </x:c>
      <x:c r="B33" t="str">
        <x:v>CIRCUITPY-media is geldig maar leesalleen vir die host</x:v>
      </x:c>
      <x:c r="C33" t="str">
        <x:v>Medium</x:v>
      </x:c>
      <x:c r="D33" t="str">
        <x:v>High</x:v>
      </x:c>
      <x:c r="E33" t="str">
        <x:v>Embedded/Release</x:v>
      </x:c>
      <x:c r="F33" t="str">
        <x:v>Stop deploy; FAT verify; fisiese power-cycle en skryfbaarheidstoets; geen erase/remount-omseiling</x:v>
      </x:c>
      <x:c r="G33" t="str">
        <x:v>Controlled - writable HIL 2026-07-15</x:v>
      </x:c>
    </x:row>
    <x:row r="34" ht="44" customHeight="1">
      <x:c r="A34" s="126" t="str">
        <x:v>R-030</x:v>
      </x:c>
      <x:c r="B34" s="126" t="str">
        <x:v>USB product names collide or change between boots</x:v>
      </x:c>
      <x:c r="C34" s="126" t="str">
        <x:v>Medium</x:v>
      </x:c>
      <x:c r="D34" s="126" t="str">
        <x:v>High</x:v>
      </x:c>
      <x:c r="E34" s="126" t="str">
        <x:v>Embedded/Release</x:v>
      </x:c>
      <x:c r="F34" s="126" t="str">
        <x:v>Stable non-secret four-character instance ID, collision rule and two-device DAW acceptance in US-068</x:v>
      </x:c>
      <x:c r="G34" s="126" t="str">
        <x:v>Post-MVP - US-068</x:v>
      </x:c>
    </x:row>
    <x:row r="35" ht="48" customHeight="1">
      <x:c r="A35" s="139" t="str">
        <x:v>R-031</x:v>
      </x:c>
      <x:c r="B35" s="139" t="str">
        <x:v>Wrong power, levels, clock or bus sequence damages a rare physical retro chip</x:v>
      </x:c>
      <x:c r="C35" s="139" t="str">
        <x:v>Medium</x:v>
      </x:c>
      <x:c r="D35" s="139" t="str">
        <x:v>Critical</x:v>
      </x:c>
      <x:c r="E35" s="139" t="str">
        <x:v>DSP/Chip/Hardware</x:v>
      </x:c>
      <x:c r="F35" s="139" t="str">
        <x:v>Datasheet and measurement gate, current-limited supply, level shifting and no universal expander assumption</x:v>
      </x:c>
      <x:c r="G35" s="139" t="str">
        <x:v>Later - US-070 to US-073</x:v>
      </x:c>
    </x:row>
    <x:row r="36" ht="48" customHeight="1">
      <x:c r="A36" s="138" t="str">
        <x:v>R-032</x:v>
      </x:c>
      <x:c r="B36" s="138" t="str">
        <x:v>Physical backend is falsely detected, hangs runtime or plays alongside emulation</x:v>
      </x:c>
      <x:c r="C36" s="138" t="str">
        <x:v>Medium</x:v>
      </x:c>
      <x:c r="D36" s="138" t="str">
        <x:v>High</x:v>
      </x:c>
      <x:c r="E36" s="138" t="str">
        <x:v>Architect/Embedded/QA</x:v>
      </x:c>
      <x:c r="F36" s="138" t="str">
        <x:v>Capability probe, timeout, fault injection, safe switch boundary and emulation default/fallback</x:v>
      </x:c>
      <x:c r="G36" s="138" t="str">
        <x:v>Later - US-074</x:v>
      </x:c>
    </x:row>
    <x:row r="37" ht="48" customHeight="1">
      <x:c r="A37" s="143" t="str">
        <x:v>R-033</x:v>
      </x:c>
      <x:c r="B37" s="143" t="str">
        <x:v>Standalone I2S diagnostic drifts from the production AudioOutput profile</x:v>
      </x:c>
      <x:c r="C37" s="143" t="str">
        <x:v>Medium</x:v>
      </x:c>
      <x:c r="D37" s="143" t="str">
        <x:v>High</x:v>
      </x:c>
      <x:c r="E37" s="143" t="str">
        <x:v>Architect/QA/HIL</x:v>
      </x:c>
      <x:c r="F37" s="143" t="str">
        <x:v>Same profile field names, AST/import and frequency tests, paired MAX98357 HIL, no shared synth-runtime import</x:v>
      </x:c>
      <x:c r="G37" s="143" t="str">
        <x:v>Controlled in US-016</x:v>
      </x:c>
    </x:row>
    <x:row r="38" ht="48" customHeight="1">
      <x:c r="A38" s="144" t="str">
        <x:v>R-034</x:v>
      </x:c>
      <x:c r="B38" s="144" t="str">
        <x:v>Long-running heap/resource leak or rare reset is missed by short HIL</x:v>
      </x:c>
      <x:c r="C38" s="144" t="str">
        <x:v>Medium</x:v>
      </x:c>
      <x:c r="D38" s="144" t="str">
        <x:v>High</x:v>
      </x:c>
      <x:c r="E38" s="144" t="str">
        <x:v>QA/HIL/Embedded</x:v>
      </x:c>
      <x:c r="F38" s="144" t="str">
        <x:v>30m/8h/12h/24h burn-in profiles, 4096-byte/5% heap boundary, cleanup/reset/dropout telemetry</x:v>
      </x:c>
      <x:c r="G38" s="144" t="str">
        <x:v>Controlled in US-016/051/055/057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4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  <x:dataValidation type="list" sqref="G30:G31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5139a01c85478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CEA bewaak coherence; Copilot adviseer;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48" customHeight="1">
      <x:c r="A5" s="132" t="str">
        <x:v>Sales/Discovery</x:v>
      </x:c>
      <x:c r="B5" s="132" t="str">
        <x:v>Waarde, gebruiker, begroting</x:v>
      </x:c>
      <x:c r="C5" s="132" t="str">
        <x:v>Waardehipotese en demo-uitkoms</x:v>
      </x:c>
    </x:row>
    <x:row r="6" ht="48" customHeight="1">
      <x:c r="A6" s="133" t="str">
        <x:v>Business Analyst</x:v>
      </x:c>
      <x:c r="B6" s="133" t="str">
        <x:v>Vloei, omvang, aannames</x:v>
      </x:c>
      <x:c r="C6" s="133" t="str">
        <x:v>Story, kriteria en nie-doelwitte</x:v>
      </x:c>
    </x:row>
    <x:row r="7" ht="48" customHeight="1">
      <x:c r="A7" s="134" t="str">
        <x:v>Product Owner</x:v>
      </x:c>
      <x:c r="B7" s="134" t="str">
        <x:v>Prioriteit en aanvaarding</x:v>
      </x:c>
      <x:c r="C7" s="134" t="str">
        <x:v>Ready/accept/reject</x:v>
      </x:c>
    </x:row>
    <x:row r="8" ht="48" customHeight="1">
      <x:c r="A8" s="133" t="str">
        <x:v>Scrum Master</x:v>
      </x:c>
      <x:c r="B8" s="133" t="str">
        <x:v>Volgorde en impediments</x:v>
      </x:c>
      <x:c r="C8" s="133" t="str">
        <x:v>Now/Next/Later en blocker</x:v>
      </x:c>
    </x:row>
    <x:row r="9" ht="48" customHeight="1">
      <x:c r="A9" s="134" t="str">
        <x:v>Chief Enterprise Architect</x:v>
      </x:c>
      <x:c r="B9" s="134" t="str">
        <x:v>Visie, vermoens, meta model en cross-epic coherence</x:v>
      </x:c>
      <x:c r="C9" s="134" t="str">
        <x:v>Fitness teen visie en artefakgesag</x:v>
      </x:c>
    </x:row>
    <x:row r="10" ht="48" customHeight="1">
      <x:c r="A10" s="133" t="str">
        <x:v>Framework Engineer</x:v>
      </x:c>
      <x:c r="B10" s="133" t="str">
        <x:v>Konteks, taxonomy, review en kennisvloei</x:v>
      </x:c>
      <x:c r="C10" s="133" t="str">
        <x:v>Minimale storypakket en framework sanity</x:v>
      </x:c>
    </x:row>
    <x:row r="11" ht="48" customHeight="1">
      <x:c r="A11" s="134" t="str">
        <x:v>Solution Architect</x:v>
      </x:c>
      <x:c r="B11" s="134" t="str">
        <x:v>Poorte, ADR en portabiliteit</x:v>
      </x:c>
      <x:c r="C11" s="134" t="str">
        <x:v>Ontwerpresensie en trade-off</x:v>
      </x:c>
    </x:row>
    <x:row r="12" ht="48" customHeight="1">
      <x:c r="A12" s="133" t="str">
        <x:v>Embedded Engineer</x:v>
      </x:c>
      <x:c r="B12" s="133" t="str">
        <x:v>Boot, bord, penne, geheue</x:v>
      </x:c>
      <x:c r="C12" s="133" t="str">
        <x:v>Bordimpak en herstelpad</x:v>
      </x:c>
    </x:row>
    <x:row r="13" ht="48" customHeight="1">
      <x:c r="A13" s="134" t="str">
        <x:v>MIDI Engineer</x:v>
      </x:c>
      <x:c r="B13" s="134" t="str">
        <x:v>MIDI, kanale, clock, controls</x:v>
      </x:c>
      <x:c r="C13" s="134" t="str">
        <x:v>Kontrakte en randgevalle</x:v>
      </x:c>
    </x:row>
    <x:row r="14" ht="48" customHeight="1">
      <x:c r="A14" s="133" t="str">
        <x:v>DSP/Chip Engineer</x:v>
      </x:c>
      <x:c r="B14" s="133" t="str">
        <x:v>Kern, voices, audio, DSP</x:v>
      </x:c>
      <x:c r="C14" s="133" t="str">
        <x:v>CPU/RAM/latensie/akkuraatheid</x:v>
      </x:c>
    </x:row>
    <x:row r="15" ht="48" customHeight="1">
      <x:c r="A15" s="135" t="str">
        <x:v>Web Engineer</x:v>
      </x:c>
      <x:c r="B15" s="135" t="str">
        <x:v>Plaaslike UI en scheduling</x:v>
      </x:c>
      <x:c r="C15" s="135" t="str">
        <x:v>UI-vloei en bronimpak</x:v>
      </x:c>
    </x:row>
    <x:row r="16" ht="48" customHeight="1">
      <x:c r="A16" s="127" t="str">
        <x:v>QA/HIL Engineer</x:v>
      </x:c>
      <x:c r="B16" s="127" t="str">
        <x:v>Rooi/groen en instrumentmeting</x:v>
      </x:c>
      <x:c r="C16" s="127" t="str">
        <x:v>Toetsmatriks en bewys</x:v>
      </x:c>
    </x:row>
    <x:row r="17" ht="48" customHeight="1">
      <x:c r="A17" s="136" t="str">
        <x:v>Release/Documentation</x:v>
      </x:c>
      <x:c r="B17" s="136" t="str">
        <x:v>Git, installasie en traceability</x:v>
      </x:c>
      <x:c r="C17" s="136" t="str">
        <x:v>Publikasiehek en docs</x:v>
      </x:c>
    </x:row>
    <x:row r="18" ht="48" customHeight="1">
      <x:c r="A18" s="127" t="str">
        <x:v>External Architecture Reviewer (Copilot)</x:v>
      </x:c>
      <x:c r="B18" s="127" t="str">
        <x:v>Onafhanklike ontwerp- en risiko-review</x:v>
      </x:c>
      <x:c r="C18" s="127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e2d6bd237d4847a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 ID, runtime, autoreload en hard reset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  <x:row r="26" ht="40" customHeight="1">
      <x:c r="A26" s="83" t="str">
        <x:v>CircuitPython wifi</x:v>
      </x:c>
      <x:c r="B26" s="83" t="str">
        <x:v>Station/AP, connect timeout, IP-adresse, AP-auth en DHCP</x:v>
      </x:c>
      <x:c r="C26" s="83" t="str">
        <x:v>Official API</x:v>
      </x:c>
      <x:c r="D26" s="83" t="str">
        <x:v>https://docs.circuitpython.org/en/stable/shared-bindings/wifi/</x:v>
      </x:c>
    </x:row>
    <x:row r="27" ht="40" customHeight="1">
      <x:c r="A27" s="83" t="str">
        <x:v>HTTP server starting methods</x:v>
      </x:c>
      <x:c r="B27" s="83" t="str">
        <x:v>Station- en AP-bedieneropstart</x:v>
      </x:c>
      <x:c r="C27" s="83" t="str">
        <x:v>Official library example</x:v>
      </x:c>
      <x:c r="D27" s="83" t="str">
        <x:v>https://docs.circuitpython.org/projects/httpserver/en/latest/starting_methods.html</x:v>
      </x:c>
    </x:row>
    <x:row r="28" ht="56" customHeight="1">
      <x:c r="A28" t="str">
        <x:v>WEMOS S2 Mini</x:v>
      </x:c>
      <x:c r="B28" t="str">
        <x:v>Verwysingsbord, 3.3 V-logika, 27 I/O, flash en PSRAM</x:v>
      </x:c>
      <x:c r="C28" s="83" t="str">
        <x:v>Official board documentation</x:v>
      </x:c>
      <x:c r="D28" s="83" t="str">
        <x:v>https://docs.wemos.cc/en/latest/s2/s2_mini.html</x:v>
      </x:c>
    </x:row>
    <x:row r="29" ht="56" customHeight="1">
      <x:c r="A29" t="str">
        <x:v>Espressif ESP32-S2 I2S</x:v>
      </x:c>
      <x:c r="B29" t="str">
        <x:v>Een I2S-perifeer en BCLK/WS/DOUT-semantiek</x:v>
      </x:c>
      <x:c r="C29" s="83" t="str">
        <x:v>Official silicon/driver documentation</x:v>
      </x:c>
      <x:c r="D29" s="83" t="str">
        <x:v>https://docs.espressif.com/projects/esp-idf/en/release-v5.2/esp32s2/api-reference/peripherals/i2s.html</x:v>
      </x:c>
    </x:row>
    <x:row r="30">
      <x:c r="A30" t="str">
        <x:v>CircuitPython environment variables</x:v>
      </x:c>
      <x:c r="B30" t="str">
        <x:v>settings.toml en os.getenv</x:v>
      </x:c>
      <x:c r="C30" t="str">
        <x:v>Official API guide</x:v>
      </x:c>
      <x:c r="D30" t="str">
        <x:v>https://docs.circuitpython.org/en/latest/docs/environment.html</x:v>
      </x:c>
    </x:row>
    <x:row r="31">
      <x:c r="A31" t="str">
        <x:v>CircuitPython storage workflow</x:v>
      </x:c>
      <x:c r="B31" t="str">
        <x:v>Host/device filesystem ownership</x:v>
      </x:c>
      <x:c r="C31" t="str">
        <x:v>Official workflow</x:v>
      </x:c>
      <x:c r="D31" t="str">
        <x:v>https://docs.circuitpython.org/en/10.1.1/docs/workflows.html</x:v>
      </x:c>
    </x:row>
    <x:row r="32">
      <x:c r="A32" t="str">
        <x:v>CircuitPython storage API</x:v>
      </x:c>
      <x:c r="B32" t="str">
        <x:v>Remount en destructive erase boundary</x:v>
      </x:c>
      <x:c r="C32" t="str">
        <x:v>Official API</x:v>
      </x:c>
      <x:c r="D32" t="str">
        <x:v>https://docs.circuitpython.org/en/10.0.3/shared-bindings/storage/</x:v>
      </x:c>
    </x:row>
    <x:row r="33">
      <x:c r="A33" t="str">
        <x:v>MIDI Association MIDI 1.0 summary</x:v>
      </x:c>
      <x:c r="B33" t="str">
        <x:v>Channel messages, 14-bit bend and timing clock</x:v>
      </x:c>
      <x:c r="C33" t="str">
        <x:v>Official standards body</x:v>
      </x:c>
      <x:c r="D33" t="str">
        <x:v>https://midi.org/summary-of-midi-1-0-messages</x:v>
      </x:c>
    </x:row>
    <x:row r="34">
      <x:c r="A34" t="str">
        <x:v>CircUp</x:v>
      </x:c>
      <x:c r="B34" t="str">
        <x:v>Requirements-gebaseerde CircuitPython library-installering</x:v>
      </x:c>
      <x:c r="C34" t="str">
        <x:v>Official tool</x:v>
      </x:c>
      <x:c r="D34" t="str">
        <x:v>https://docs.circuitpython.org/projects/circup/en/latest/</x:v>
      </x:c>
    </x:row>
    <x:row r="35" ht="44" customHeight="1">
      <x:c r="A35" s="137" t="str">
        <x:v>DhrBaksteen ArduinoOPL2</x:v>
      </x:c>
      <x:c r="B35" s="137" t="str">
        <x:v>Later OPL2 SPI contract, license and HIL</x:v>
      </x:c>
      <x:c r="C35" s="137" t="str">
        <x:v>User-provided source</x:v>
      </x:c>
      <x:c r="D35" s="137" t="str">
        <x:v>https://github.com/DhrBaksteen/ArduinoOPL2/tree/master/src</x:v>
      </x:c>
    </x:row>
    <x:row r="36" ht="44" customHeight="1">
      <x:c r="A36" s="138" t="str">
        <x:v>Malvineous pyopl</x:v>
      </x:c>
      <x:c r="B36" s="138" t="str">
        <x:v>Later OPL2 behavior and test reference</x:v>
      </x:c>
      <x:c r="C36" s="138" t="str">
        <x:v>User-provided source</x:v>
      </x:c>
      <x:c r="D36" s="138" t="str">
        <x:v>https://github.com/Malvineous/pyopl</x:v>
      </x:c>
    </x:row>
    <x:row r="37">
      <x:c r="A37" t="str">
        <x:v>2026-07-16</x:v>
      </x:c>
      <x:c r="B37" t="str">
        <x:v>PO exception / HIL evidence</x:v>
      </x:c>
      <x:c r="C37" t="str">
        <x:v>US-075 hoorbare G-C-D via MAX98357A met goedkope TRS-koptelefoon; risico bewust geaccepteerd</x:v>
      </x:c>
      <x:c r="D37" t="str">
        <x:v>CHATOD-20260714-MCP-CP-MVP-001 / MCP-US-075-HIL-SOFTWARE-PASS</x:v>
      </x:c>
    </x:row>
    <x:row r="38">
      <x:c r="A38" t="str">
        <x:v>2026-07-16</x:v>
      </x:c>
      <x:c r="B38" t="str">
        <x:v>US-055 host evidence</x:v>
      </x:c>
      <x:c r="C38" t="str">
        <x:v>v0.17.0 adds D1UsbMidiI2sRuntime and CircuitPythonI2sAudioOutput; 125 pytest tests pass</x:v>
      </x:c>
      <x:c r="D38" t="str">
        <x:v>CHATOD-20260714-MCP-CP-MVP-001 / MCP-US-055-START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0a5ebf671534622"/>
  </x:tableParts>
</x:worksheet>
</file>
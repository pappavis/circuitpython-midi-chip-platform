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f14253d63845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1b8b3104c842ca"/>
    <x:sheet xmlns:r="http://schemas.openxmlformats.org/officeDocument/2006/relationships" name="Backlog" sheetId="2" r:id="Rdc6faae59e684d22"/>
    <x:sheet xmlns:r="http://schemas.openxmlformats.org/officeDocument/2006/relationships" name="Epics" sheetId="3" r:id="Rd9f6d05738144dcd"/>
    <x:sheet xmlns:r="http://schemas.openxmlformats.org/officeDocument/2006/relationships" name="Risks" sheetId="4" r:id="Rf4524d525a7747d7"/>
    <x:sheet xmlns:r="http://schemas.openxmlformats.org/officeDocument/2006/relationships" name="Team RACI" sheetId="5" r:id="Rbc45aeadb92a4775"/>
    <x:sheet xmlns:r="http://schemas.openxmlformats.org/officeDocument/2006/relationships" name="Sources" sheetId="6" r:id="R4b7a086187d6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14"/>
      <x:color rgb="FF102A43"/>
      <x:name val="Carlito"/>
    </x:font>
    <x:font>
      <x:b/>
      <x:sz val="12"/>
      <x:color rgb="FFFFFFFF"/>
      <x:name val="Carlito"/>
    </x:font>
    <x:font>
      <x:sz val="10"/>
      <x:color rgb="FF627D98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1F2933"/>
      <x:name val="Aptos"/>
    </x:font>
    <x:font>
      <x:b/>
      <x:sz val="10"/>
      <x:color rgb="FFFFFFFF"/>
      <x:name val="Aptos"/>
    </x:font>
    <x:font>
      <x:sz val="9"/>
      <x:color rgb="FF1F2933"/>
      <x:name val="Aptos"/>
    </x:font>
    <x:font>
      <x:b/>
      <x:sz val="14"/>
      <x:color rgb="FF102A43"/>
      <x:name val="Aptos"/>
    </x:font>
    <x:font>
      <x:b/>
      <x:sz val="12"/>
      <x:color rgb="FFFFFFFF"/>
      <x:name val="Aptos"/>
    </x:font>
    <x:font>
      <x:sz val="10"/>
      <x:color rgb="FF627D98"/>
      <x:name val="Aptos"/>
    </x:font>
    <x:font>
      <x:sz val="11"/>
      <x:color rgb="FF1F2933"/>
      <x:name val="Carlito"/>
    </x:font>
    <x:font>
      <x:sz val="11"/>
      <x:color rgb="FF9B2C2C"/>
      <x:name val="Carlito"/>
    </x:font>
    <x:font>
      <x:b/>
      <x:sz val="11"/>
      <x:color rgb="FF243746"/>
      <x:name val="Aptos"/>
    </x:font>
    <x:font>
      <x:sz val="11"/>
      <x:color rgb="FF243746"/>
      <x:name val="Aptos"/>
    </x:font>
    <x:font>
      <x:i/>
      <x:sz val="11"/>
      <x:color rgb="FF243746"/>
      <x:name val="Aptos"/>
    </x:font>
    <x:font>
      <x:sz val="20"/>
      <x:color rgb="FFFFFFFF"/>
      <x:name val="Aptos"/>
    </x:font>
    <x:font>
      <x:b/>
      <x:sz val="11"/>
      <x:color rgb="FFFFFFFF"/>
      <x:name val="Aptos"/>
    </x:font>
    <x:font>
      <x:sz val="10"/>
      <x:color rgb="FF58728A"/>
      <x:name val="Aptos"/>
    </x:font>
  </x:fonts>
  <x:fills count="29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4F4"/>
      </x:patternFill>
    </x:fill>
    <x:fill>
      <x:patternFill patternType="solid">
        <x:fgColor rgb="FF176B87"/>
      </x:patternFill>
    </x:fill>
    <x:fill>
      <x:patternFill patternType="solid">
        <x:fgColor rgb="FFF26B5E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  <x:fill>
      <x:patternFill patternType="solid">
        <x:fgColor rgb="FFBFE3F2"/>
      </x:patternFill>
    </x:fill>
    <x:fill>
      <x:patternFill patternType="solid">
        <x:fgColor rgb="FFFDE2E1"/>
      </x:patternFill>
    </x:fill>
    <x:fill>
      <x:patternFill patternType="solid">
        <x:fgColor rgb="FFFCE1D2"/>
      </x:patternFill>
    </x:fill>
    <x:fill>
      <x:patternFill patternType="solid">
        <x:fgColor rgb="FF12324A"/>
      </x:patternFill>
    </x:fill>
    <x:fill>
      <x:patternFill patternType="solid">
        <x:fgColor rgb="FFEAF4F7"/>
      </x:patternFill>
    </x:fill>
    <x:fill>
      <x:patternFill patternType="solid">
        <x:fgColor rgb="FF1B7288"/>
      </x:patternFill>
    </x:fill>
    <x:fill>
      <x:patternFill patternType="solid">
        <x:fgColor rgb="FFFFFFFF"/>
      </x:patternFill>
    </x:fill>
    <x:fill>
      <x:patternFill patternType="solid">
        <x:fgColor rgb="FFE6F1F4"/>
      </x:patternFill>
    </x:fill>
    <x:fill>
      <x:patternFill patternType="solid">
        <x:fgColor rgb="FFF26B5E"/>
      </x:patternFill>
    </x:fill>
    <x:fill>
      <x:patternFill patternType="solid">
        <x:fgColor rgb="FFF4F8FA"/>
      </x:patternFill>
    </x:fill>
    <x:fill>
      <x:patternFill patternType="solid">
        <x:fgColor rgb="FFFFFFFF"/>
      </x:patternFill>
    </x:fill>
    <x:fill>
      <x:patternFill patternType="solid">
        <x:fgColor rgb="FFBFE5F4"/>
      </x:patternFill>
    </x:fill>
    <x:fill>
      <x:patternFill patternType="solid">
        <x:fgColor rgb="FFBCEFC6"/>
      </x:patternFill>
    </x:fill>
    <x:fill>
      <x:patternFill patternType="solid">
        <x:fgColor rgb="FF80C6E3"/>
      </x:patternFill>
    </x:fill>
    <x:fill>
      <x:patternFill patternType="solid">
        <x:fgColor rgb="FFBFE5F4"/>
      </x:patternFill>
    </x:fill>
    <x:fill>
      <x:patternFill patternType="solid">
        <x:fgColor rgb="FFFFFFFF"/>
      </x:patternFill>
    </x:fill>
    <x:fill>
      <x:patternFill patternType="solid">
        <x:fgColor rgb="FFFCE0D1"/>
      </x:patternFill>
    </x:fill>
    <x:fill>
      <x:patternFill patternType="solid">
        <x:fgColor rgb="FFFCE0D1"/>
      </x:patternFill>
    </x:fill>
    <x:fill>
      <x:patternFill patternType="solid">
        <x:fgColor rgb="FFFCE0D1"/>
      </x:patternFill>
    </x:fill>
    <x:fill>
      <x:patternFill patternType="solid">
        <x:fgColor rgb="FFFCE0D1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2" fillId="0" borderId="3" xfId="0" applyNumberFormat="1" applyFont="1" applyFill="1" applyBorder="1" applyAlignment="1">
      <x:alignment vertical="top" wrapText="1"/>
    </x:xf>
    <x:xf numFmtId="0" fontId="13" fillId="3" borderId="3" xfId="0" applyNumberFormat="1" applyFont="1" applyFill="1" applyBorder="1" applyAlignment="1">
      <x:alignment horizontal="center" vertical="center" wrapText="1"/>
    </x:xf>
    <x:xf numFmtId="0" fontId="12" fillId="0" borderId="4" xfId="0" applyNumberFormat="1" applyFont="1" applyFill="1" applyBorder="1" applyAlignment="1">
      <x:alignment vertical="top" wrapText="1"/>
    </x:xf>
    <x:xf numFmtId="0" fontId="13" fillId="3" borderId="4" xfId="0" applyNumberFormat="1" applyFont="1" applyFill="1" applyBorder="1" applyAlignment="1">
      <x:alignment horizontal="center" vertical="center" wrapText="1"/>
    </x:xf>
    <x:xf numFmtId="0" fontId="12" fillId="0" borderId="5" xfId="0" applyNumberFormat="1" applyFont="1" applyFill="1" applyBorder="1" applyAlignment="1">
      <x:alignment vertical="top" wrapText="1"/>
    </x:xf>
    <x:xf numFmtId="0" fontId="13" fillId="3" borderId="5" xfId="0" applyNumberFormat="1" applyFont="1" applyFill="1" applyBorder="1" applyAlignment="1">
      <x:alignment horizontal="center" vertical="center" wrapText="1"/>
    </x:xf>
    <x:xf numFmtId="0" fontId="14" fillId="5" borderId="0" xfId="0" applyNumberFormat="1" applyFont="1" applyFill="1" applyBorder="1" applyAlignment="1">
      <x:alignment horizontal="center" vertical="center"/>
    </x:xf>
    <x:xf numFmtId="0" fontId="15" fillId="6" borderId="7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6" fillId="7" borderId="0" xfId="0" applyNumberFormat="1" applyFont="1" applyFill="1" applyBorder="1"/>
    <x:xf numFmtId="0" fontId="16" fillId="7" borderId="4" xfId="0" applyNumberFormat="1" applyFont="1" applyFill="1" applyBorder="1"/>
    <x:xf numFmtId="0" fontId="16" fillId="7" borderId="4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6" fillId="8" borderId="0" xfId="0" applyNumberFormat="1" applyFont="1" applyFill="1" applyBorder="1"/>
    <x:xf numFmtId="0" fontId="16" fillId="8" borderId="4" xfId="0" applyNumberFormat="1" applyFont="1" applyFill="1" applyBorder="1"/>
    <x:xf numFmtId="0" fontId="16" fillId="8" borderId="4" xfId="0" applyNumberFormat="1" applyFont="1" applyFill="1" applyBorder="1" applyAlignment="1">
      <x:alignment wrapText="1"/>
    </x:xf>
    <x:xf numFmtId="0" fontId="16" fillId="9" borderId="4" xfId="0" applyNumberFormat="1" applyFont="1" applyFill="1" applyBorder="1" applyAlignment="1">
      <x:alignment wrapText="1"/>
    </x:xf>
    <x:xf numFmtId="0" fontId="17" fillId="9" borderId="4" xfId="0" applyNumberFormat="1" applyFont="1" applyFill="1" applyBorder="1" applyAlignment="1">
      <x:alignment wrapText="1"/>
    </x:xf>
    <x:xf numFmtId="200" fontId="16" fillId="7" borderId="4" xfId="0" applyNumberFormat="1" applyFont="1" applyFill="1" applyBorder="1" applyAlignment="1">
      <x:alignment wrapText="1"/>
    </x:xf>
    <x:xf numFmtId="200" fontId="16" fillId="8" borderId="4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4" xfId="0" applyNumberFormat="1" applyFont="1" applyFill="1" applyBorder="1"/>
    <x:xf numFmtId="0" fontId="16" fillId="1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8" fillId="2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20" fillId="3" borderId="0" xfId="0" applyNumberFormat="1" applyFont="1" applyFill="1" applyBorder="1" applyAlignment="1">
      <x:alignment vertical="center" wrapText="1"/>
    </x:xf>
    <x:xf numFmtId="0" fontId="18" fillId="4" borderId="1" xfId="0" applyNumberFormat="1" applyFont="1" applyFill="1" applyBorder="1" applyAlignment="1">
      <x:alignment vertical="center" wrapText="1"/>
    </x:xf>
    <x:xf numFmtId="0" fontId="18" fillId="4" borderId="2" xfId="0" applyNumberFormat="1" applyFont="1" applyFill="1" applyBorder="1" applyAlignment="1">
      <x:alignment vertical="center" wrapText="1"/>
    </x:xf>
    <x:xf numFmtId="0" fontId="18" fillId="4" borderId="6" xfId="0" applyNumberFormat="1" applyFont="1" applyFill="1" applyBorder="1" applyAlignment="1">
      <x:alignment vertical="center" wrapText="1"/>
    </x:xf>
    <x:xf numFmtId="0" fontId="19" fillId="0" borderId="3" xfId="0" applyNumberFormat="1" applyFont="1" applyFill="1" applyBorder="1" applyAlignment="1">
      <x:alignment vertical="top" wrapText="1"/>
    </x:xf>
    <x:xf numFmtId="0" fontId="18" fillId="3" borderId="3" xfId="0" applyNumberFormat="1" applyFont="1" applyFill="1" applyBorder="1" applyAlignment="1">
      <x:alignment horizontal="center" vertical="center" wrapText="1"/>
    </x:xf>
    <x:xf numFmtId="0" fontId="19" fillId="0" borderId="4" xfId="0" applyNumberFormat="1" applyFont="1" applyFill="1" applyBorder="1" applyAlignment="1">
      <x:alignment vertical="top" wrapText="1"/>
    </x:xf>
    <x:xf numFmtId="0" fontId="18" fillId="3" borderId="4" xfId="0" applyNumberFormat="1" applyFont="1" applyFill="1" applyBorder="1" applyAlignment="1">
      <x:alignment horizontal="center" vertical="center" wrapText="1"/>
    </x:xf>
    <x:xf numFmtId="0" fontId="19" fillId="0" borderId="5" xfId="0" applyNumberFormat="1" applyFont="1" applyFill="1" applyBorder="1" applyAlignment="1">
      <x:alignment vertical="top" wrapText="1"/>
    </x:xf>
    <x:xf numFmtId="0" fontId="18" fillId="3" borderId="5" xfId="0" applyNumberFormat="1" applyFont="1" applyFill="1" applyBorder="1" applyAlignment="1">
      <x:alignment horizontal="center" vertical="center" wrapText="1"/>
    </x:xf>
    <x:xf numFmtId="0" fontId="18" fillId="5" borderId="0" xfId="0" applyNumberFormat="1" applyFont="1" applyFill="1" applyBorder="1" applyAlignment="1">
      <x:alignment horizontal="center" vertical="center"/>
    </x:xf>
    <x:xf numFmtId="0" fontId="19" fillId="6" borderId="7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 applyAlignment="1">
      <x:alignment vertical="center"/>
    </x:xf>
    <x:xf numFmtId="0" fontId="19" fillId="11" borderId="0" xfId="0" applyNumberFormat="1" applyFont="1" applyFill="1" applyBorder="1"/>
    <x:xf numFmtId="0" fontId="21" fillId="11" borderId="0" xfId="0" applyNumberFormat="1" applyFont="1" applyFill="1" applyBorder="1" applyAlignment="1">
      <x:alignment vertical="center"/>
    </x:xf>
    <x:xf numFmtId="0" fontId="21" fillId="11" borderId="0" xfId="0" applyNumberFormat="1" applyFont="1" applyFill="1" applyBorder="1"/>
    <x:xf numFmtId="0" fontId="20" fillId="12" borderId="0" xfId="0" applyNumberFormat="1" applyFont="1" applyFill="1" applyBorder="1" applyAlignment="1">
      <x:alignment vertical="center" wrapText="1"/>
    </x:xf>
    <x:xf numFmtId="0" fontId="19" fillId="12" borderId="0" xfId="0" applyNumberFormat="1" applyFont="1" applyFill="1" applyBorder="1"/>
    <x:xf numFmtId="0" fontId="18" fillId="13" borderId="1" xfId="0" applyNumberFormat="1" applyFont="1" applyFill="1" applyBorder="1" applyAlignment="1">
      <x:alignment vertical="center" wrapText="1"/>
    </x:xf>
    <x:xf numFmtId="0" fontId="18" fillId="13" borderId="2" xfId="0" applyNumberFormat="1" applyFont="1" applyFill="1" applyBorder="1" applyAlignment="1">
      <x:alignment vertical="center" wrapText="1"/>
    </x:xf>
    <x:xf numFmtId="0" fontId="22" fillId="13" borderId="1" xfId="0" applyNumberFormat="1" applyFont="1" applyFill="1" applyBorder="1" applyAlignment="1">
      <x:alignment vertical="center" wrapText="1"/>
    </x:xf>
    <x:xf numFmtId="0" fontId="22" fillId="13" borderId="2" xfId="0" applyNumberFormat="1" applyFont="1" applyFill="1" applyBorder="1" applyAlignment="1">
      <x:alignment vertical="center" wrapText="1"/>
    </x:xf>
    <x:xf numFmtId="0" fontId="18" fillId="13" borderId="6" xfId="0" applyNumberFormat="1" applyFont="1" applyFill="1" applyBorder="1" applyAlignment="1">
      <x:alignment vertical="center" wrapText="1"/>
    </x:xf>
    <x:xf numFmtId="0" fontId="22" fillId="13" borderId="6" xfId="0" applyNumberFormat="1" applyFont="1" applyFill="1" applyBorder="1" applyAlignment="1">
      <x:alignment vertical="center" wrapText="1"/>
    </x:xf>
    <x:xf numFmtId="0" fontId="19" fillId="14" borderId="3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8" fillId="15" borderId="3" xfId="0" applyNumberFormat="1" applyFont="1" applyFill="1" applyBorder="1" applyAlignment="1">
      <x:alignment horizontal="center" vertical="center" wrapText="1"/>
    </x:xf>
    <x:xf numFmtId="0" fontId="18" fillId="15" borderId="4" xfId="0" applyNumberFormat="1" applyFont="1" applyFill="1" applyBorder="1" applyAlignment="1">
      <x:alignment horizontal="center" vertical="center" wrapText="1"/>
    </x:xf>
    <x:xf numFmtId="0" fontId="18" fillId="15" borderId="5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8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/>
    <x:xf numFmtId="0" fontId="22" fillId="16" borderId="0" xfId="0" applyNumberFormat="1" applyFont="1" applyFill="1" applyBorder="1" applyAlignment="1">
      <x:alignment horizontal="center" vertical="center"/>
    </x:xf>
    <x:xf numFmtId="0" fontId="22" fillId="16" borderId="0" xfId="0" applyNumberFormat="1" applyFont="1" applyFill="1" applyBorder="1"/>
    <x:xf numFmtId="0" fontId="19" fillId="17" borderId="7" xfId="0" applyNumberFormat="1" applyFont="1" applyFill="1" applyBorder="1" applyAlignment="1">
      <x:alignment vertical="center" wrapText="1"/>
    </x:xf>
    <x:xf numFmtId="0" fontId="19" fillId="17" borderId="0" xfId="0" applyNumberFormat="1" applyFont="1" applyFill="1" applyBorder="1"/>
    <x:xf numFmtId="0" fontId="23" fillId="17" borderId="7" xfId="0" applyNumberFormat="1" applyFont="1" applyFill="1" applyBorder="1" applyAlignment="1">
      <x:alignment vertical="center" wrapText="1"/>
    </x:xf>
    <x:xf numFmtId="0" fontId="23" fillId="17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21" borderId="3" xfId="0" applyNumberFormat="1" applyFont="1" applyFill="1" applyBorder="1" applyAlignment="1">
      <x:alignment vertical="center" wrapText="1"/>
    </x:xf>
    <x:xf numFmtId="0" fontId="4" fillId="19" borderId="4" xfId="0" applyNumberFormat="1" applyFont="1" applyFill="1" applyBorder="1" applyAlignment="1">
      <x:alignment vertical="center" wrapText="1"/>
    </x:xf>
    <x:xf numFmtId="0" fontId="4" fillId="21" borderId="4" xfId="0" applyNumberFormat="1" applyFont="1" applyFill="1" applyBorder="1" applyAlignment="1">
      <x:alignment vertical="center" wrapText="1"/>
    </x:xf>
    <x:xf numFmtId="0" fontId="4" fillId="21" borderId="5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B2C2C"/>
      </x:font>
      <x:fill>
        <x:patternFill>
          <x:bgColor rgb="FFFDE2E1"/>
        </x:patternFill>
      </x:fill>
    </x:dxf>
    <x:dxf>
      <x:font>
        <x:b/>
        <x:color rgb="FF176B4D"/>
      </x:font>
      <x:fill>
        <x:patternFill>
          <x:bgColor rgb="FFDFF3E8"/>
        </x:patternFill>
      </x:fill>
    </x:dxf>
    <x:dxf>
      <x:font>
        <x:b/>
        <x:color rgb="FF7C5A00"/>
      </x:font>
      <x:fill>
        <x:patternFill>
          <x:bgColor rgb="FFFFF1C7"/>
        </x:patternFill>
      </x:fill>
    </x:dxf>
    <x:dxf>
      <x:font>
        <x:b/>
        <x:color rgb="FF922B21"/>
      </x:font>
      <x:fill>
        <x:patternFill>
          <x:bgColor rgb="FFFADBD8"/>
        </x:patternFill>
      </x:fill>
    </x:dxf>
    <x:dxf>
      <x:font>
        <x:b/>
        <x:color rgb="FF922B21"/>
      </x:font>
      <x:fill>
        <x:patternFill>
          <x:bgColor rgb="FFFADBD8"/>
        </x:patternFill>
      </x:fill>
    </x:dxf>
    <x:dxf>
      <x:font>
        <x:b/>
        <x:color rgb="FF176B4D"/>
      </x:font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661fbff6a4fee" /><Relationship Type="http://schemas.openxmlformats.org/officeDocument/2006/relationships/theme" Target="/xl/theme/theme1.xml" Id="Rfad7924a5dcb4289" /><Relationship Type="http://schemas.openxmlformats.org/officeDocument/2006/relationships/sharedStrings" Target="/xl/sharedStrings.xml" Id="R8e13058181a14974" /><Relationship Type="http://schemas.openxmlformats.org/officeDocument/2006/relationships/worksheet" Target="/xl/worksheets/sheet1.xml" Id="R551b8b3104c842ca" /><Relationship Type="http://schemas.openxmlformats.org/officeDocument/2006/relationships/worksheet" Target="/xl/worksheets/sheet2.xml" Id="Rdc6faae59e684d22" /><Relationship Type="http://schemas.openxmlformats.org/officeDocument/2006/relationships/worksheet" Target="/xl/worksheets/sheet3.xml" Id="Rd9f6d05738144dcd" /><Relationship Type="http://schemas.openxmlformats.org/officeDocument/2006/relationships/worksheet" Target="/xl/worksheets/sheet4.xml" Id="Rf4524d525a7747d7" /><Relationship Type="http://schemas.openxmlformats.org/officeDocument/2006/relationships/worksheet" Target="/xl/worksheets/sheet5.xml" Id="Rbc45aeadb92a4775" /><Relationship Type="http://schemas.openxmlformats.org/officeDocument/2006/relationships/worksheet" Target="/xl/worksheets/sheet6.xml" Id="R4b7a086187d64343" /></Relationships>
</file>

<file path=xl/tables/table1.xml><?xml version="1.0" encoding="utf-8"?>
<x:table xmlns:x="http://schemas.openxmlformats.org/spreadsheetml/2006/main" id="1" name="BacklogTable" displayName="BacklogTable" ref="A4:L67" headerRowCount="1" totalsRowCount="0" totalsRowShown="0">
  <x:autoFilter ref="A4:L67"/>
  <x:tableColumns count="12">
    <x:tableColumn id="1" name="Story ID"/>
    <x:tableColumn id="2" name="Epic"/>
    <x:tableColumn id="3" name="Titel"/>
    <x:tableColumn id="4" name="Eienaar"/>
    <x:tableColumn id="5" name="Priority"/>
    <x:tableColumn id="6" name="Status"/>
    <x:tableColumn id="7" name="Sprint"/>
    <x:tableColumn id="8" name="Fase"/>
    <x:tableColumn id="9" name="Estimate"/>
    <x:tableColumn id="10" name="Depends On"/>
    <x:tableColumn id="11" name="Aanvaardingsbewys"/>
    <x:tableColumn id="12" name="Traceabi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picsTable" displayName="EpicsTable" ref="A4:F12" headerRowCount="1" totalsRowCount="0" totalsRowShown="0">
  <x:tableColumns count="6">
    <x:tableColumn id="1" name="Epic"/>
    <x:tableColumn id="2" name="Naam"/>
    <x:tableColumn id="3" name="Stories"/>
    <x:tableColumn id="4" name="Must"/>
    <x:tableColumn id="5" name="Done"/>
    <x:tableColumn id="6" name="Primêre doe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isksTable" displayName="RisksTable" ref="A4:G33" headerRowCount="1" totalsRowCount="0" totalsRowShown="0">
  <x:tableColumns count="7">
    <x:tableColumn id="1" name="ID"/>
    <x:tableColumn id="2" name="Risiko"/>
    <x:tableColumn id="3" name="Likelihood"/>
    <x:tableColumn id="4" name="Impact"/>
    <x:tableColumn id="5" name="Owner"/>
    <x:tableColumn id="6" name="Mitigation"/>
    <x:tableColumn id="7" name="Status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olesTable" displayName="RolesTable" ref="A4:C16" headerRowCount="1" totalsRowCount="0" totalsRowShown="0">
  <x:tableColumns count="3">
    <x:tableColumn id="1" name="Rol"/>
    <x:tableColumn id="2" name="Verantwoordelikheid"/>
    <x:tableColumn id="3" name="Verpligte inset per story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4:D34" headerRowCount="1" totalsRowCount="0" totalsRowShown="0">
  <x:tableColumns count="4">
    <x:tableColumn id="1" name="Bron"/>
    <x:tableColumn id="2" name="Gebruik"/>
    <x:tableColumn id="3" name="Klas"/>
    <x:tableColumn id="4" name="URL / ligging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dc196b0f124b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a2e23646e441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68ea3d32cb43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ab79d4b4444c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39a29941a744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2" customHeight="1">
      <x:c r="A1" s="100" t="str">
        <x:v>MIDI Chip Platform - MVP Kanban</x:v>
      </x:c>
      <x:c r="B1" s="101"/>
      <x:c r="C1" s="101"/>
      <x:c r="D1" s="101"/>
      <x:c r="E1" s="101"/>
      <x:c r="F1" s="101"/>
      <x:c r="G1" s="101"/>
      <x:c r="H1" s="101"/>
    </x:row>
    <x:row r="2" ht="28" customHeight="1">
      <x:c r="A2" s="102" t="str">
        <x:v>Sprint 3 | scope v0.26.0 | runtime v0.16.0 | CHATOD-20260714-MCP-CP-MVP-001</x:v>
      </x:c>
      <x:c r="B2" s="103"/>
      <x:c r="C2" s="103"/>
      <x:c r="D2" s="103"/>
      <x:c r="E2" s="103"/>
      <x:c r="F2" s="103"/>
      <x:c r="G2" s="103"/>
      <x:c r="H2" s="103"/>
    </x:row>
    <x:row r="3">
      <x:c r="A3" s="85"/>
      <x:c r="B3" s="85"/>
      <x:c r="C3" s="85"/>
      <x:c r="D3" s="85"/>
      <x:c r="E3" s="85"/>
      <x:c r="F3" s="85"/>
      <x:c r="G3" s="85"/>
      <x:c r="H3" s="85"/>
    </x:row>
    <x:row r="4" ht="28" customHeight="1">
      <x:c r="A4" s="106" t="str">
        <x:v>Metriek</x:v>
      </x:c>
      <x:c r="B4" s="107" t="str">
        <x:v>Waarde</x:v>
      </x:c>
      <x:c r="C4" s="85"/>
      <x:c r="D4" s="106" t="str">
        <x:v>MVP-besluithekke</x:v>
      </x:c>
      <x:c r="E4" s="109"/>
      <x:c r="F4" s="109"/>
      <x:c r="G4" s="109"/>
      <x:c r="H4" s="107"/>
    </x:row>
    <x:row r="5">
      <x:c r="A5" s="110" t="str">
        <x:v>Totale stories</x:v>
      </x:c>
      <x:c r="B5" s="113" t="n">
        <x:v>75</x:v>
      </x:c>
      <x:c r="C5" s="85"/>
      <x:c r="D5" s="110" t="str">
        <x:v>1. Verkry 4-8 ohm speaker; geen direkte koptelefoon-HIL</x:v>
      </x:c>
      <x:c r="E5" s="110"/>
      <x:c r="F5" s="110"/>
      <x:c r="G5" s="110"/>
      <x:c r="H5" s="110"/>
    </x:row>
    <x:row r="6">
      <x:c r="A6" s="111" t="str">
        <x:v>Done</x:v>
      </x:c>
      <x:c r="B6" s="114" t="n">
        <x:v>16</x:v>
      </x:c>
      <x:c r="C6" s="85"/>
      <x:c r="D6" s="111" t="str">
        <x:v>2. Deploy v0.16.0; voer lae-volume i2s_test.py uit</x:v>
      </x:c>
      <x:c r="E6" s="111"/>
      <x:c r="F6" s="111"/>
      <x:c r="G6" s="111"/>
      <x:c r="H6" s="111"/>
    </x:row>
    <x:row r="7">
      <x:c r="A7" s="111" t="str">
        <x:v>In Progress</x:v>
      </x:c>
      <x:c r="B7" s="114" t="n">
        <x:f>COUNTIF('Backlog'!$F$5:$F$200,"In Progress")</x:f>
        <x:v>0</x:v>
      </x:c>
      <x:c r="C7" s="85"/>
      <x:c r="D7" s="111" t="str">
        <x:v>3. PO aanvaar sagte G-C-D en serial PASS vir US-075</x:v>
      </x:c>
      <x:c r="E7" s="111"/>
      <x:c r="F7" s="111"/>
      <x:c r="G7" s="111"/>
      <x:c r="H7" s="111"/>
    </x:row>
    <x:row r="8">
      <x:c r="A8" s="111" t="str">
        <x:v>MVP acceptance-set</x:v>
      </x:c>
      <x:c r="B8" s="114" t="n">
        <x:v>17</x:v>
      </x:c>
      <x:c r="C8" s="85"/>
      <x:c r="D8" s="112" t="str">
        <x:v>4. US-055: Logic External MIDI na veilige hoorbare D1</x:v>
      </x:c>
      <x:c r="E8" s="112"/>
      <x:c r="F8" s="112"/>
      <x:c r="G8" s="112"/>
      <x:c r="H8" s="112"/>
    </x:row>
    <x:row r="9">
      <x:c r="A9" s="111" t="str">
        <x:v>Oop risiko’s</x:v>
      </x:c>
      <x:c r="B9" s="114" t="n">
        <x:f>COUNTA('Risks'!$A$5:$A$200)</x:f>
        <x:v>34</x:v>
      </x:c>
      <x:c r="C9" s="85"/>
      <x:c r="D9" s="116" t="str"/>
      <x:c r="E9" s="116"/>
      <x:c r="F9" s="116"/>
      <x:c r="G9" s="116"/>
      <x:c r="H9" s="116"/>
    </x:row>
    <x:row r="10">
      <x:c r="A10" s="112" t="str">
        <x:v>Virtuele rolle</x:v>
      </x:c>
      <x:c r="B10" s="115" t="n">
        <x:f>COUNTA('Team RACI'!$A$5:$A$100)</x:f>
        <x:v>14</x:v>
      </x:c>
      <x:c r="C10" s="85"/>
      <x:c r="D10" s="116"/>
      <x:c r="E10" s="116"/>
      <x:c r="F10" s="116"/>
      <x:c r="G10" s="116"/>
      <x:c r="H10" s="116"/>
    </x:row>
    <x:row r="11">
      <x:c r="A11" s="85"/>
      <x:c r="B11" s="85"/>
      <x:c r="C11" s="85"/>
      <x:c r="D11" s="85"/>
      <x:c r="E11" s="85"/>
      <x:c r="F11" s="85"/>
      <x:c r="G11" s="85"/>
      <x:c r="H11" s="85"/>
    </x:row>
    <x:row r="12">
      <x:c r="A12" s="85"/>
      <x:c r="B12" s="85"/>
      <x:c r="C12" s="85"/>
      <x:c r="D12" s="85"/>
      <x:c r="E12" s="85"/>
      <x:c r="F12" s="85"/>
      <x:c r="G12" s="85"/>
      <x:c r="H12" s="85"/>
    </x:row>
    <x:row r="13" ht="30" customHeight="1">
      <x:c r="A13" s="119" t="str">
        <x:v>120 tests GREEN | US-075 IN REVIEW | veilige 4-8 ohm speaker-HIL nodig</x:v>
      </x:c>
      <x:c r="B13" s="120"/>
      <x:c r="C13" s="120"/>
      <x:c r="D13" s="120"/>
      <x:c r="E13" s="120"/>
      <x:c r="F13" s="120"/>
      <x:c r="G13" s="120"/>
      <x:c r="H13" s="120"/>
    </x:row>
    <x:row r="14">
      <x:c r="A14" s="85"/>
      <x:c r="B14" s="85"/>
      <x:c r="C14" s="85"/>
      <x:c r="D14" s="85"/>
      <x:c r="E14" s="85"/>
      <x:c r="F14" s="85"/>
      <x:c r="G14" s="85"/>
      <x:c r="H14" s="85"/>
    </x:row>
    <x:row r="15" ht="58" customHeight="1">
      <x:c r="A15" s="123" t="str">
        <x:v>MVP 2026-07-16: verwysingsbord ontvang Logic USB-MIDI en speel hoorbare D1; alle volgende cores en uitbreidings is post-MVP.</x:v>
      </x:c>
      <x:c r="B15" s="124"/>
      <x:c r="C15" s="124"/>
      <x:c r="D15" s="124"/>
      <x:c r="E15" s="124"/>
      <x:c r="F15" s="124"/>
      <x:c r="G15" s="124"/>
      <x:c r="H15" s="124"/>
    </x:row>
    <x:row r="16">
      <x:c r="A16" s="124"/>
      <x:c r="B16" s="124"/>
      <x:c r="C16" s="124"/>
      <x:c r="D16" s="124"/>
      <x:c r="E16" s="124"/>
      <x:c r="F16" s="124"/>
      <x:c r="G16" s="124"/>
      <x:c r="H16" s="124"/>
    </x:row>
    <x:row r="17">
      <x:c r="A17" s="51"/>
      <x:c r="B17" s="51"/>
      <x:c r="C17" s="51"/>
      <x:c r="D17" s="51"/>
      <x:c r="E17" s="51"/>
      <x:c r="F17" s="51"/>
      <x:c r="G17" s="51"/>
      <x:c r="H17" s="51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A13:H13"/>
    <x:mergeCell ref="A15:H17"/>
    <x:mergeCell ref="A15:H15"/>
    <x:mergeCell ref="D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22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0" hidden="0" customWidth="1"/>
    <x:col min="10" max="10" width="16" hidden="0" customWidth="1"/>
    <x:col min="11" max="11" width="52" hidden="0" customWidth="1"/>
    <x:col min="12" max="12" width="38" hidden="0" customWidth="1"/>
  </x:cols>
  <x:sheetData>
    <x:row r="1" ht="32" customHeight="1">
      <x:c r="A1" s="3" t="str">
        <x:v>Geordende user-story backlog</x:v>
      </x:c>
    </x:row>
    <x:row r="2" ht="28" customHeight="1">
      <x:c r="A2" s="7" t="str">
        <x:v>Bron: docs/user_stories_v0.1.0.md v0.26.0 | 75 stories | 17-story veiligheidsaangepaste MVP Acceptance Set</x:v>
      </x:c>
    </x:row>
    <x:row r="4" ht="28" customHeight="1">
      <x:c r="A4" s="14" t="str">
        <x:v>Story ID</x:v>
      </x:c>
      <x:c r="B4" s="40" t="str">
        <x:v>Epic</x:v>
      </x:c>
      <x:c r="C4" s="40" t="str">
        <x:v>Titel</x:v>
      </x:c>
      <x:c r="D4" s="40" t="str">
        <x:v>Eienaar</x:v>
      </x:c>
      <x:c r="E4" s="40" t="str">
        <x:v>Priority</x:v>
      </x:c>
      <x:c r="F4" s="40" t="str">
        <x:v>Status</x:v>
      </x:c>
      <x:c r="G4" s="40" t="str">
        <x:v>Sprint</x:v>
      </x:c>
      <x:c r="H4" s="40" t="str">
        <x:v>Fase</x:v>
      </x:c>
      <x:c r="I4" s="40" t="str">
        <x:v>Estimate</x:v>
      </x:c>
      <x:c r="J4" s="40" t="str">
        <x:v>Depends On</x:v>
      </x:c>
      <x:c r="K4" s="40" t="str">
        <x:v>Aanvaardingsbewys</x:v>
      </x:c>
      <x:c r="L4" s="15" t="str">
        <x:v>Traceability</x:v>
      </x:c>
    </x:row>
    <x:row r="5" ht="38" customHeight="1">
      <x:c r="A5" s="23" t="str">
        <x:v>MCP-US-001</x:v>
      </x:c>
      <x:c r="B5" s="23" t="str">
        <x:v>MCP-EPIC-001</x:v>
      </x:c>
      <x:c r="C5" s="23" t="str">
        <x:v>Device And Source Baseline Inventory</x:v>
      </x:c>
      <x:c r="D5" s="23" t="str">
        <x:v>Solution Architect</x:v>
      </x:c>
      <x:c r="E5" s="23" t="str">
        <x:v>Should</x:v>
      </x:c>
      <x:c r="F5" s="23" t="str">
        <x:v>Done</x:v>
      </x:c>
      <x:c r="G5" s="23" t="str">
        <x:v>Sprint 0</x:v>
      </x:c>
      <x:c r="H5" s="23" t="str">
        <x:v>MVP-Enabler (Done)</x:v>
      </x:c>
      <x:c r="I5" s="64" t="n">
        <x:v>3</x:v>
      </x:c>
      <x:c r="J5" s="23" t="str">
        <x:v>-</x:v>
      </x:c>
      <x:c r="K5" s="23" t="str">
        <x:v>Bord, bronne, rugsteun, risiko’s en hergebruik is gedokumenteer</x:v>
      </x:c>
      <x:c r="L5" s="23" t="str">
        <x:v>CHATOD-20260714-MCP-CP-MVP-001 / MCP-US-001</x:v>
      </x:c>
    </x:row>
    <x:row r="6" ht="38" customHeight="1">
      <x:c r="A6" s="24" t="str">
        <x:v>MCP-US-002</x:v>
      </x:c>
      <x:c r="B6" s="24" t="str">
        <x:v>MCP-EPIC-001</x:v>
      </x:c>
      <x:c r="C6" s="24" t="str">
        <x:v>Clean Repository And Project Skeleton</x:v>
      </x:c>
      <x:c r="D6" s="24" t="str">
        <x:v>Solution Architect</x:v>
      </x:c>
      <x:c r="E6" s="24" t="str">
        <x:v>Must</x:v>
      </x:c>
      <x:c r="F6" s="24" t="str">
        <x:v>Done</x:v>
      </x:c>
      <x:c r="G6" s="24" t="str">
        <x:v>Sprint 1</x:v>
      </x:c>
      <x:c r="H6" s="24" t="str">
        <x:v>MVP-Enabler (Done)</x:v>
      </x:c>
      <x:c r="I6" s="65" t="n">
        <x:v>5</x:v>
      </x:c>
      <x:c r="J6" s="24" t="str">
        <x:v>US-001</x:v>
      </x:c>
      <x:c r="K6" s="24" t="str">
        <x:v>Klasgebaseerde poorte, host-toetse en headers bestaan; geen toestel-I/O nie</x:v>
      </x:c>
      <x:c r="L6" s="24" t="str">
        <x:v>CHATOD-20260714-MCP-CP-MVP-001 / MCP-US-002</x:v>
      </x:c>
    </x:row>
    <x:row r="7" ht="38" customHeight="1">
      <x:c r="A7" s="24" t="str">
        <x:v>MCP-US-003</x:v>
      </x:c>
      <x:c r="B7" s="24" t="str">
        <x:v>MCP-EPIC-001</x:v>
      </x:c>
      <x:c r="C7" s="24" t="str">
        <x:v>Minimal Safe Boot And USB Profile</x:v>
      </x:c>
      <x:c r="D7" s="24" t="str">
        <x:v>Solution Architect</x:v>
      </x:c>
      <x:c r="E7" s="24" t="str">
        <x:v>Must</x:v>
      </x:c>
      <x:c r="F7" s="24" t="str">
        <x:v>Done</x:v>
      </x:c>
      <x:c r="G7" s="24" t="str">
        <x:v>Sprint 1</x:v>
      </x:c>
      <x:c r="H7" s="24" t="str">
        <x:v>MVP-Enabler (Done)</x:v>
      </x:c>
      <x:c r="I7" s="65" t="n">
        <x:v>8</x:v>
      </x:c>
      <x:c r="J7" s="24" t="str">
        <x:v>US-002</x:v>
      </x:c>
      <x:c r="K7" s="24" t="str">
        <x:v>USB-MIDI begin voor runtime; CIRCUITPY/REPL herstel en drieledige device-proof het op ESP32-S2 geslaag</x:v>
      </x:c>
      <x:c r="L7" s="24" t="str">
        <x:v>CHATOD-20260714-MCP-CP-MVP-001 / MCP-US-003 / commit 3994f46</x:v>
      </x:c>
    </x:row>
    <x:row r="8" ht="38" customHeight="1">
      <x:c r="A8" s="24" t="str">
        <x:v>MCP-US-004</x:v>
      </x:c>
      <x:c r="B8" s="24" t="str">
        <x:v>MCP-EPIC-001</x:v>
      </x:c>
      <x:c r="C8" s="24" t="str">
        <x:v>Board Capability Discovery</x:v>
      </x:c>
      <x:c r="D8" s="24" t="str">
        <x:v>Solution Architect</x:v>
      </x:c>
      <x:c r="E8" s="24" t="str">
        <x:v>Must</x:v>
      </x:c>
      <x:c r="F8" s="24" t="str">
        <x:v>Done</x:v>
      </x:c>
      <x:c r="G8" s="24" t="str">
        <x:v>Sprint 1</x:v>
      </x:c>
      <x:c r="H8" s="24" t="str">
        <x:v>MVP-Enabler (Done)</x:v>
      </x:c>
      <x:c r="I8" s="65" t="n">
        <x:v>5</x:v>
      </x:c>
      <x:c r="J8" s="24" t="str">
        <x:v>US-002</x:v>
      </x:c>
      <x:c r="K8" s="24" t="str">
        <x:v>Profiel, IO3/5/7, modules, heap en I2S-backend gerapporteer; power-cycle recovery en volledige manifest-HIL slaag</x:v>
      </x:c>
      <x:c r="L8" s="24" t="str">
        <x:v>CHATOD-20260714-MCP-CP-MVP-001 / MCP-US-004 / v0.4.0</x:v>
      </x:c>
    </x:row>
    <x:row r="9" ht="38" customHeight="1">
      <x:c r="A9" s="24" t="str">
        <x:v>MCP-US-005</x:v>
      </x:c>
      <x:c r="B9" s="24" t="str">
        <x:v>MCP-EPIC-001</x:v>
      </x:c>
      <x:c r="C9" s="24" t="str">
        <x:v>Configuration And Secret Boundary</x:v>
      </x:c>
      <x:c r="D9" s="24" t="str">
        <x:v>Solution Architect</x:v>
      </x:c>
      <x:c r="E9" s="24" t="str">
        <x:v>Must</x:v>
      </x:c>
      <x:c r="F9" s="24" t="str">
        <x:v>Done</x:v>
      </x:c>
      <x:c r="G9" s="24" t="str">
        <x:v>Sprint 1</x:v>
      </x:c>
      <x:c r="H9" s="24" t="str">
        <x:v>MVP-Enabler (Done)</x:v>
      </x:c>
      <x:c r="I9" s="65" t="n">
        <x:v>5</x:v>
      </x:c>
      <x:c r="J9" s="24" t="str">
        <x:v>US-003</x:v>
      </x:c>
      <x:c r="K9" s="24" t="str">
        <x:v>Host secret-leak tests and Wemos v0.12.3 prove PASS, three empty private settings as UNSET and device execution READY without exposing values</x:v>
      </x:c>
      <x:c r="L9" s="24" t="str">
        <x:v>CHATOD-20260714-MCP-CP-MVP-001 / MCP-US-005-HIL-ACCEPTED</x:v>
      </x:c>
    </x:row>
    <x:row r="10" ht="38" customHeight="1">
      <x:c r="A10" s="24" t="str">
        <x:v>MCP-US-006</x:v>
      </x:c>
      <x:c r="B10" s="24" t="str">
        <x:v>MCP-EPIC-002</x:v>
      </x:c>
      <x:c r="C10" s="24" t="str">
        <x:v>Portable NoteEvent And ControlEvent Model</x:v>
      </x:c>
      <x:c r="D10" s="24" t="str">
        <x:v>MIDI Engineer</x:v>
      </x:c>
      <x:c r="E10" s="24" t="str">
        <x:v>Must</x:v>
      </x:c>
      <x:c r="F10" s="24" t="str">
        <x:v>Done</x:v>
      </x:c>
      <x:c r="G10" s="24" t="str">
        <x:v>Sprint 2</x:v>
      </x:c>
      <x:c r="H10" s="24" t="str">
        <x:v>MVP-Enabler (Done)</x:v>
      </x:c>
      <x:c r="I10" s="65" t="n">
        <x:v>5</x:v>
      </x:c>
      <x:c r="J10" s="24" t="str">
        <x:v>US-002</x:v>
      </x:c>
      <x:c r="K10" s="24" t="str">
        <x:v>Product Owner het die draagbare eventmodel binne 68 groen hosttoetse aanvaar</x:v>
      </x:c>
      <x:c r="L10" s="24" t="str">
        <x:v>CHATOD-20260714-MCP-CP-MVP-001 / HOST-ACCEPTED / v0.11.0</x:v>
      </x:c>
    </x:row>
    <x:row r="11" ht="38" customHeight="1">
      <x:c r="A11" s="24" t="str">
        <x:v>MCP-US-007</x:v>
      </x:c>
      <x:c r="B11" s="24" t="str">
        <x:v>MCP-EPIC-002</x:v>
      </x:c>
      <x:c r="C11" s="24" t="str">
        <x:v>USB MIDI Receive Loop</x:v>
      </x:c>
      <x:c r="D11" s="24" t="str">
        <x:v>MIDI Engineer</x:v>
      </x:c>
      <x:c r="E11" s="24" t="str">
        <x:v>Must</x:v>
      </x:c>
      <x:c r="F11" s="24" t="str">
        <x:v>Done</x:v>
      </x:c>
      <x:c r="G11" s="24" t="str">
        <x:v>Sprint 2</x:v>
      </x:c>
      <x:c r="H11" s="24" t="str">
        <x:v>MVP-Enabler (Done)</x:v>
      </x:c>
      <x:c r="I11" s="65" t="n">
        <x:v>5</x:v>
      </x:c>
      <x:c r="J11" s="24" t="str">
        <x:v>US-003, US-006</x:v>
      </x:c>
      <x:c r="K11" s="24" t="str">
        <x:v>v0.12.2 ontvang fisies USB-MIDI vanaf Logic/CoreMIDI; twee Note On, een Note Off en matched_notes=1 is op die Wemos S2 gerapporteer</x:v>
      </x:c>
      <x:c r="L11" s="24" t="str">
        <x:v>CHATOD-20260714-MCP-CP-MVP-001 / MCP-US-007-ACCEPTANCE / v0.12.2</x:v>
      </x:c>
    </x:row>
    <x:row r="12" ht="38" customHeight="1">
      <x:c r="A12" s="24" t="str">
        <x:v>MCP-US-008</x:v>
      </x:c>
      <x:c r="B12" s="24" t="str">
        <x:v>MCP-EPIC-002</x:v>
      </x:c>
      <x:c r="C12" s="24" t="str">
        <x:v>MIDI Channel Router</x:v>
      </x:c>
      <x:c r="D12" s="24" t="str">
        <x:v>MIDI Engineer</x:v>
      </x:c>
      <x:c r="E12" s="24" t="str">
        <x:v>Must</x:v>
      </x:c>
      <x:c r="F12" s="24" t="str">
        <x:v>Done</x:v>
      </x:c>
      <x:c r="G12" s="24" t="str">
        <x:v>Sprint 2</x:v>
      </x:c>
      <x:c r="H12" s="24" t="str">
        <x:v>MVP-Enabler (Done)</x:v>
      </x:c>
      <x:c r="I12" s="65" t="n">
        <x:v>5</x:v>
      </x:c>
      <x:c r="J12" s="24" t="str">
        <x:v>US-007</x:v>
      </x:c>
      <x:c r="K12" s="24" t="str">
        <x:v>Kanaal 1-16 roeteer dinamies; kanaallose clock en onbekende kanale bly ongebonde</x:v>
      </x:c>
      <x:c r="L12" s="24" t="str">
        <x:v>CHATOD-20260714-MCP-CP-MVP-001 / MCP-US-008 / commit 68f4dd4</x:v>
      </x:c>
    </x:row>
    <x:row r="13" ht="38" customHeight="1">
      <x:c r="A13" s="24" t="str">
        <x:v>MCP-US-009</x:v>
      </x:c>
      <x:c r="B13" s="24" t="str">
        <x:v>MCP-EPIC-002</x:v>
      </x:c>
      <x:c r="C13" s="24" t="str">
        <x:v>Velocity And Note-Off Semantics</x:v>
      </x:c>
      <x:c r="D13" s="24" t="str">
        <x:v>MIDI Engineer</x:v>
      </x:c>
      <x:c r="E13" s="24" t="str">
        <x:v>Must</x:v>
      </x:c>
      <x:c r="F13" s="24" t="str">
        <x:v>Done</x:v>
      </x:c>
      <x:c r="G13" s="24" t="str">
        <x:v>Sprint 2</x:v>
      </x:c>
      <x:c r="H13" s="24" t="str">
        <x:v>MVP-Enabler (Done)</x:v>
      </x:c>
      <x:c r="I13" s="65" t="n">
        <x:v>5</x:v>
      </x:c>
      <x:c r="J13" s="24" t="str">
        <x:v>US-007</x:v>
      </x:c>
      <x:c r="K13" s="24" t="str">
        <x:v>Velocity nul, Note Off, CC120 en CC123 ruim aktiewe note per kanaal op</x:v>
      </x:c>
      <x:c r="L13" s="24" t="str">
        <x:v>CHATOD-20260714-MCP-CP-MVP-001 / MCP-US-009 / commit 3236850</x:v>
      </x:c>
    </x:row>
    <x:row r="14" ht="38" customHeight="1">
      <x:c r="A14" s="24" t="str">
        <x:v>MCP-US-010</x:v>
      </x:c>
      <x:c r="B14" s="24" t="str">
        <x:v>MCP-EPIC-002</x:v>
      </x:c>
      <x:c r="C14" s="24" t="str">
        <x:v>Pitch Bend And CC1 Modulation</x:v>
      </x:c>
      <x:c r="D14" s="24" t="str">
        <x:v>MIDI Engineer</x:v>
      </x:c>
      <x:c r="E14" s="24" t="str">
        <x:v>Must</x:v>
      </x:c>
      <x:c r="F14" s="24" t="str">
        <x:v>In Review</x:v>
      </x:c>
      <x:c r="G14" s="24" t="str">
        <x:v>Sprint 2</x:v>
      </x:c>
      <x:c r="H14" s="24" t="str">
        <x:v>Post-MVP</x:v>
      </x:c>
      <x:c r="I14" s="65" t="n">
        <x:v>5</x:v>
      </x:c>
      <x:c r="J14" s="24" t="str">
        <x:v>US-007</x:v>
      </x:c>
      <x:c r="K14" s="24" t="str">
        <x:v>Per-kanaal bend/CC1-berekening aanvaar; hoorbare toets wag op US-016 en US-063</x:v>
      </x:c>
      <x:c r="L14" s="24" t="str">
        <x:v>CHATOD-20260714-MCP-CP-MVP-001 / MCP-US-010 / HOST-ACCEPTED</x:v>
      </x:c>
    </x:row>
    <x:row r="15" ht="38" customHeight="1">
      <x:c r="A15" s="24" t="str">
        <x:v>MCP-US-011</x:v>
      </x:c>
      <x:c r="B15" s="24" t="str">
        <x:v>MCP-EPIC-002</x:v>
      </x:c>
      <x:c r="C15" s="24" t="str">
        <x:v>Internal 120 BPM Clock</x:v>
      </x:c>
      <x:c r="D15" s="24" t="str">
        <x:v>MIDI Engineer</x:v>
      </x:c>
      <x:c r="E15" s="24" t="str">
        <x:v>Must</x:v>
      </x:c>
      <x:c r="F15" s="24" t="str">
        <x:v>Backlog</x:v>
      </x:c>
      <x:c r="G15" s="24" t="str">
        <x:v>Sprint 3</x:v>
      </x:c>
      <x:c r="H15" s="24" t="str">
        <x:v>Post-MVP</x:v>
      </x:c>
      <x:c r="I15" s="65" t="n">
        <x:v>5</x:v>
      </x:c>
      <x:c r="J15" s="24" t="str">
        <x:v>US-002</x:v>
      </x:c>
      <x:c r="K15" s="24" t="str">
        <x:v>Interne klok lewer stabiele 24 PPQN-afgeleides en BPM-metriek</x:v>
      </x:c>
      <x:c r="L15" s="24" t="str">
        <x:v>CHATOD-20260714-MCP-CP-MVP-001 / MCP-US-011</x:v>
      </x:c>
    </x:row>
    <x:row r="16" ht="38" customHeight="1">
      <x:c r="A16" s="24" t="str">
        <x:v>MCP-US-012</x:v>
      </x:c>
      <x:c r="B16" s="24" t="str">
        <x:v>MCP-EPIC-002</x:v>
      </x:c>
      <x:c r="C16" s="24" t="str">
        <x:v>External MIDI Clock Sync</x:v>
      </x:c>
      <x:c r="D16" s="24" t="str">
        <x:v>MIDI Engineer</x:v>
      </x:c>
      <x:c r="E16" s="24" t="str">
        <x:v>Must</x:v>
      </x:c>
      <x:c r="F16" s="24" t="str">
        <x:v>Backlog</x:v>
      </x:c>
      <x:c r="G16" s="24" t="str">
        <x:v>Sprint 3</x:v>
      </x:c>
      <x:c r="H16" s="24" t="str">
        <x:v>Post-MVP</x:v>
      </x:c>
      <x:c r="I16" s="65" t="n">
        <x:v>5</x:v>
      </x:c>
      <x:c r="J16" s="24" t="str">
        <x:v>US-007, US-011</x:v>
      </x:c>
      <x:c r="K16" s="24" t="str">
        <x:v>USB of adapter-klok kan Start/Stop/Continue en tempo beheer</x:v>
      </x:c>
      <x:c r="L16" s="24" t="str">
        <x:v>CHATOD-20260714-MCP-CP-MVP-001 / MCP-US-012</x:v>
      </x:c>
    </x:row>
    <x:row r="17" ht="38" customHeight="1">
      <x:c r="A17" s="24" t="str">
        <x:v>MCP-US-013</x:v>
      </x:c>
      <x:c r="B17" s="24" t="str">
        <x:v>MCP-EPIC-002</x:v>
      </x:c>
      <x:c r="C17" s="24" t="str">
        <x:v>Standalone DIN UART MIDI Transport</x:v>
      </x:c>
      <x:c r="D17" s="24" t="str">
        <x:v>MIDI Engineer</x:v>
      </x:c>
      <x:c r="E17" s="24" t="str">
        <x:v>Must</x:v>
      </x:c>
      <x:c r="F17" s="24" t="str">
        <x:v>Backlog</x:v>
      </x:c>
      <x:c r="G17" s="24" t="str">
        <x:v>Sprint 3</x:v>
      </x:c>
      <x:c r="H17" s="24" t="str">
        <x:v>Post-MVP</x:v>
      </x:c>
      <x:c r="I17" s="65" t="n">
        <x:v>5</x:v>
      </x:c>
      <x:c r="J17" s="24" t="str">
        <x:v>US-006</x:v>
      </x:c>
      <x:c r="K17" s="24" t="str">
        <x:v>'n Eksterne USB-host se 5-pen DIN/UART-boodskappe gebruik dieselfde MidiInputPort en eventmodel</x:v>
      </x:c>
      <x:c r="L17" s="24" t="str">
        <x:v>CHATOD-20260714-MCP-CP-MVP-001 / MIDI-TRANSPORT-MULTICORE-AMENDMENT-001 / MCP-US-013</x:v>
      </x:c>
    </x:row>
    <x:row r="18" ht="38" customHeight="1">
      <x:c r="A18" s="24" t="str">
        <x:v>MCP-US-014</x:v>
      </x:c>
      <x:c r="B18" s="24" t="str">
        <x:v>MCP-EPIC-003</x:v>
      </x:c>
      <x:c r="C18" s="24" t="str">
        <x:v>AudioOutput Port And Null Backend</x:v>
      </x:c>
      <x:c r="D18" s="24" t="str">
        <x:v>DSP/Chip Engineer</x:v>
      </x:c>
      <x:c r="E18" s="24" t="str">
        <x:v>Must</x:v>
      </x:c>
      <x:c r="F18" s="24" t="str">
        <x:v>Done</x:v>
      </x:c>
      <x:c r="G18" s="24" t="str">
        <x:v>Sprint 3</x:v>
      </x:c>
      <x:c r="H18" s="24" t="str">
        <x:v>MVP-Enabler (Done)</x:v>
      </x:c>
      <x:c r="I18" s="65" t="n">
        <x:v>5</x:v>
      </x:c>
      <x:c r="J18" s="24" t="str">
        <x:v>US-002</x:v>
      </x:c>
      <x:c r="K18" s="24" t="str">
        <x:v>Bounded interleaved signed-16 PCM blocks, mono/stereo format, Null/Memory outputs, application integration and 17-file deploy manifest pass 99 host tests; no physical audio claim</x:v>
      </x:c>
      <x:c r="L18" s="24" t="str">
        <x:v>CHATOD-20260714-MCP-CP-MVP-001 / MCP-US-014-START / v0.13.0</x:v>
      </x:c>
    </x:row>
    <x:row r="19" ht="38" customHeight="1">
      <x:c r="A19" s="24" t="str">
        <x:v>MCP-US-015</x:v>
      </x:c>
      <x:c r="B19" s="24" t="str">
        <x:v>MCP-EPIC-003</x:v>
      </x:c>
      <x:c r="C19" s="24" t="str">
        <x:v>PWM Diagnostic Fallback</x:v>
      </x:c>
      <x:c r="D19" s="24" t="str">
        <x:v>DSP/Chip Engineer</x:v>
      </x:c>
      <x:c r="E19" s="24" t="str">
        <x:v>Must</x:v>
      </x:c>
      <x:c r="F19" s="24" t="str">
        <x:v>Backlog</x:v>
      </x:c>
      <x:c r="G19" s="24" t="str">
        <x:v>Sprint 4</x:v>
      </x:c>
      <x:c r="H19" s="24" t="str">
        <x:v>Post-MVP</x:v>
      </x:c>
      <x:c r="I19" s="65" t="n">
        <x:v>3</x:v>
      </x:c>
      <x:c r="J19" s="24" t="str">
        <x:v>US-004, US-014</x:v>
      </x:c>
      <x:c r="K19" s="24" t="str">
        <x:v>Twee gekose penne lewer meetbare links/regs PWM-klank</x:v>
      </x:c>
      <x:c r="L19" s="24" t="str">
        <x:v>CHATOD-20260714-MCP-CP-MVP-001 / MCP-US-015</x:v>
      </x:c>
    </x:row>
    <x:row r="20" ht="38" customHeight="1">
      <x:c r="A20" s="24" t="str">
        <x:v>MCP-US-016</x:v>
      </x:c>
      <x:c r="B20" s="24" t="str">
        <x:v>MCP-EPIC-003</x:v>
      </x:c>
      <x:c r="C20" s="24" t="str">
        <x:v>Standalone I2S Audible Diagnostic (MAX98357 Default)</x:v>
      </x:c>
      <x:c r="D20" s="24" t="str">
        <x:v>DSP/Chip Engineer</x:v>
      </x:c>
      <x:c r="E20" s="24" t="str">
        <x:v>Must</x:v>
      </x:c>
      <x:c r="F20" s="24" t="str">
        <x:v>Done</x:v>
      </x:c>
      <x:c r="G20" s="24" t="str">
        <x:v>Sprint 3</x:v>
      </x:c>
      <x:c r="H20" s="24" t="str">
        <x:v>MVP-Must</x:v>
      </x:c>
      <x:c r="I20" s="65" t="n">
        <x:v>5</x:v>
      </x:c>
      <x:c r="J20" s="24" t="str">
        <x:v>US-004, US-014</x:v>
      </x:c>
      <x:c r="K20" s="24" t="str">
        <x:v>PASS 2026-07-16: Wemos S2/MAX98357A played audible mono G3-C4-D4; serial notes=3, heap 2056512-&gt;2056192, 103 host tests; long burn-in tracked by US-051/US-057</x:v>
      </x:c>
      <x:c r="L20" s="24" t="str">
        <x:v>CHATOD-20260714-MCP-CP-MVP-001 / MCP-US-016-HIL-PASS-001 / v0.14.0</x:v>
      </x:c>
    </x:row>
    <x:row r="21" ht="38" customHeight="1">
      <x:c r="A21" s="24" t="str">
        <x:v>MCP-US-017</x:v>
      </x:c>
      <x:c r="B21" s="24" t="str">
        <x:v>MCP-EPIC-003</x:v>
      </x:c>
      <x:c r="C21" s="24" t="str">
        <x:v>SN76489-Lite Three-Voice Core</x:v>
      </x:c>
      <x:c r="D21" s="24" t="str">
        <x:v>DSP/Chip Engineer</x:v>
      </x:c>
      <x:c r="E21" s="24" t="str">
        <x:v>Must</x:v>
      </x:c>
      <x:c r="F21" s="24" t="str">
        <x:v>Backlog</x:v>
      </x:c>
      <x:c r="G21" s="24" t="str">
        <x:v>Sprint 3</x:v>
      </x:c>
      <x:c r="H21" s="24" t="str">
        <x:v>Post-MVP</x:v>
      </x:c>
      <x:c r="I21" s="65" t="n">
        <x:v>5</x:v>
      </x:c>
      <x:c r="J21" s="24" t="str">
        <x:v>US-063, US-057</x:v>
      </x:c>
      <x:c r="K21" s="24" t="str">
        <x:v>Tweede musikale kern: drie toonstemme speel onafhanklik met gedokumenteerde akkuraatheid</x:v>
      </x:c>
      <x:c r="L21" s="24" t="str">
        <x:v>CHATOD-20260714-MCP-CP-MVP-001 / MCP-US-017</x:v>
      </x:c>
    </x:row>
    <x:row r="22" ht="38" customHeight="1">
      <x:c r="A22" s="24" t="str">
        <x:v>MCP-US-018</x:v>
      </x:c>
      <x:c r="B22" s="24" t="str">
        <x:v>MCP-EPIC-003</x:v>
      </x:c>
      <x:c r="C22" s="24" t="str">
        <x:v>Voice Allocation And Stealing</x:v>
      </x:c>
      <x:c r="D22" s="24" t="str">
        <x:v>DSP/Chip Engineer</x:v>
      </x:c>
      <x:c r="E22" s="24" t="str">
        <x:v>Must</x:v>
      </x:c>
      <x:c r="F22" s="24" t="str">
        <x:v>Backlog</x:v>
      </x:c>
      <x:c r="G22" s="24" t="str">
        <x:v>Sprint 4</x:v>
      </x:c>
      <x:c r="H22" s="24" t="str">
        <x:v>Post-MVP</x:v>
      </x:c>
      <x:c r="I22" s="65" t="n">
        <x:v>5</x:v>
      </x:c>
      <x:c r="J22" s="24" t="str">
        <x:v>US-017</x:v>
      </x:c>
      <x:c r="K22" s="24" t="str">
        <x:v>Vierde noot volg ’n toetsbare steal-policy sonder vasloop</x:v>
      </x:c>
      <x:c r="L22" s="24" t="str">
        <x:v>CHATOD-20260714-MCP-CP-MVP-001 / MCP-US-018</x:v>
      </x:c>
    </x:row>
    <x:row r="23" ht="38" customHeight="1">
      <x:c r="A23" s="24" t="str">
        <x:v>MCP-US-019</x:v>
      </x:c>
      <x:c r="B23" s="24" t="str">
        <x:v>MCP-EPIC-003</x:v>
      </x:c>
      <x:c r="C23" s="24" t="str">
        <x:v>Per-Voice Left Right Stereo Routing</x:v>
      </x:c>
      <x:c r="D23" s="24" t="str">
        <x:v>DSP/Chip Engineer</x:v>
      </x:c>
      <x:c r="E23" s="24" t="str">
        <x:v>Must</x:v>
      </x:c>
      <x:c r="F23" s="24" t="str">
        <x:v>Backlog</x:v>
      </x:c>
      <x:c r="G23" s="24" t="str">
        <x:v>Sprint 4</x:v>
      </x:c>
      <x:c r="H23" s="24" t="str">
        <x:v>Post-MVP</x:v>
      </x:c>
      <x:c r="I23" s="65" t="n">
        <x:v>5</x:v>
      </x:c>
      <x:c r="J23" s="24" t="str">
        <x:v>US-015, US-017</x:v>
      </x:c>
      <x:c r="K23" s="24" t="str">
        <x:v>Elke stem kan links, regs of stereo gemonitor word</x:v>
      </x:c>
      <x:c r="L23" s="24" t="str">
        <x:v>CHATOD-20260714-MCP-CP-MVP-001 / MCP-US-019</x:v>
      </x:c>
    </x:row>
    <x:row r="24" ht="38" customHeight="1">
      <x:c r="A24" s="24" t="str">
        <x:v>MCP-US-020</x:v>
      </x:c>
      <x:c r="B24" s="24" t="str">
        <x:v>MCP-EPIC-003</x:v>
      </x:c>
      <x:c r="C24" s="24" t="str">
        <x:v>Optional Integrated G-C-D Startup Test</x:v>
      </x:c>
      <x:c r="D24" s="24" t="str">
        <x:v>DSP/Chip Engineer</x:v>
      </x:c>
      <x:c r="E24" s="24" t="str">
        <x:v>Must</x:v>
      </x:c>
      <x:c r="F24" s="24" t="str">
        <x:v>Backlog</x:v>
      </x:c>
      <x:c r="G24" s="24" t="str">
        <x:v>Sprint 4</x:v>
      </x:c>
      <x:c r="H24" s="24" t="str">
        <x:v>Post-MVP</x:v>
      </x:c>
      <x:c r="I24" s="65" t="n">
        <x:v>5</x:v>
      </x:c>
      <x:c r="J24" s="24" t="str">
        <x:v>US-016, US-063</x:v>
      </x:c>
      <x:c r="K24" s="24" t="str">
        <x:v>Post-MVP startup tune uses D1/runtime AudioOutput and remains distinct from standalone US-016 hardware diagnostic</x:v>
      </x:c>
      <x:c r="L24" s="24" t="str">
        <x:v>CHATOD-20260714-MCP-CP-MVP-001 / MCP-US-020</x:v>
      </x:c>
    </x:row>
    <x:row r="25" ht="38" customHeight="1">
      <x:c r="A25" s="24" t="str">
        <x:v>MCP-US-021</x:v>
      </x:c>
      <x:c r="B25" s="24" t="str">
        <x:v>MCP-EPIC-003</x:v>
      </x:c>
      <x:c r="C25" s="24" t="str">
        <x:v>Stereo I2S Expansion Decision</x:v>
      </x:c>
      <x:c r="D25" s="24" t="str">
        <x:v>DSP/Chip Engineer</x:v>
      </x:c>
      <x:c r="E25" s="24" t="str">
        <x:v>Must</x:v>
      </x:c>
      <x:c r="F25" s="24" t="str">
        <x:v>Backlog</x:v>
      </x:c>
      <x:c r="G25" s="24" t="str">
        <x:v>Sprint 4</x:v>
      </x:c>
      <x:c r="H25" s="24" t="str">
        <x:v>Post-MVP</x:v>
      </x:c>
      <x:c r="I25" s="65" t="n">
        <x:v>3</x:v>
      </x:c>
      <x:c r="J25" s="24" t="str">
        <x:v>US-015, US-016</x:v>
      </x:c>
      <x:c r="K25" s="24" t="str">
        <x:v>ADR kies primêre uitvoer; PWM-diagnostiek bly beskikbaar</x:v>
      </x:c>
      <x:c r="L25" s="24" t="str">
        <x:v>CHATOD-20260714-MCP-CP-MVP-001 / MCP-US-021</x:v>
      </x:c>
    </x:row>
    <x:row r="26" ht="38" customHeight="1">
      <x:c r="A26" s="24" t="str">
        <x:v>MCP-US-022</x:v>
      </x:c>
      <x:c r="B26" s="24" t="str">
        <x:v>MCP-EPIC-004</x:v>
      </x:c>
      <x:c r="C26" s="24" t="str">
        <x:v>Cooperative Runtime Scheduler</x:v>
      </x:c>
      <x:c r="D26" s="24" t="str">
        <x:v>Web Engineer</x:v>
      </x:c>
      <x:c r="E26" s="24" t="str">
        <x:v>Must</x:v>
      </x:c>
      <x:c r="F26" s="24" t="str">
        <x:v>Backlog</x:v>
      </x:c>
      <x:c r="G26" s="24" t="str">
        <x:v>Sprint 5</x:v>
      </x:c>
      <x:c r="H26" s="24" t="str">
        <x:v>Post-MVP</x:v>
      </x:c>
      <x:c r="I26" s="65" t="n">
        <x:v>5</x:v>
      </x:c>
      <x:c r="J26" s="24" t="str">
        <x:v>US-007, US-014</x:v>
      </x:c>
      <x:c r="K26" s="24" t="str">
        <x:v>MIDI, klank en web-polling deel tyd sonder hoorbare blokkasie</x:v>
      </x:c>
      <x:c r="L26" s="24" t="str">
        <x:v>CHATOD-20260714-MCP-CP-MVP-001 / MCP-US-022</x:v>
      </x:c>
    </x:row>
    <x:row r="27" ht="38" customHeight="1">
      <x:c r="A27" s="24" t="str">
        <x:v>MCP-US-023</x:v>
      </x:c>
      <x:c r="B27" s="24" t="str">
        <x:v>MCP-EPIC-004</x:v>
      </x:c>
      <x:c r="C27" s="24" t="str">
        <x:v>Safe Wi-Fi Station And AP Fallback Service</x:v>
      </x:c>
      <x:c r="D27" s="24" t="str">
        <x:v>Web Engineer</x:v>
      </x:c>
      <x:c r="E27" s="24" t="str">
        <x:v>Must</x:v>
      </x:c>
      <x:c r="F27" s="24" t="str">
        <x:v>Backlog</x:v>
      </x:c>
      <x:c r="G27" s="24" t="str">
        <x:v>Sprint 5</x:v>
      </x:c>
      <x:c r="H27" s="24" t="str">
        <x:v>Post-MVP</x:v>
      </x:c>
      <x:c r="I27" s="65" t="n">
        <x:v>5</x:v>
      </x:c>
      <x:c r="J27" s="24" t="str">
        <x:v>US-005, US-022</x:v>
      </x:c>
      <x:c r="K27" s="24" t="str">
        <x:v>Startup rapporteer hostname plus station/IP of veilige AP-fallback/IP; join is begrens, geredigeer en blokkeer nie MIDI/klank nie</x:v>
      </x:c>
      <x:c r="L27" s="24" t="str">
        <x:v>CHATOD-20260714-MCP-CP-MVP-001 / MCP-US-007-ACCEPTANCE-START / MCP-US-023</x:v>
      </x:c>
    </x:row>
    <x:row r="28" ht="38" customHeight="1">
      <x:c r="A28" s="24" t="str">
        <x:v>MCP-US-024</x:v>
      </x:c>
      <x:c r="B28" s="24" t="str">
        <x:v>MCP-EPIC-004</x:v>
      </x:c>
      <x:c r="C28" s="24" t="str">
        <x:v>Mobile-Friendly Local Web Status And Parameters</x:v>
      </x:c>
      <x:c r="D28" s="24" t="str">
        <x:v>Web Engineer</x:v>
      </x:c>
      <x:c r="E28" s="24" t="str">
        <x:v>Must</x:v>
      </x:c>
      <x:c r="F28" s="24" t="str">
        <x:v>Backlog</x:v>
      </x:c>
      <x:c r="G28" s="24" t="str">
        <x:v>Sprint 5</x:v>
      </x:c>
      <x:c r="H28" s="24" t="str">
        <x:v>Post-MVP</x:v>
      </x:c>
      <x:c r="I28" s="65" t="n">
        <x:v>8</x:v>
      </x:c>
      <x:c r="J28" s="24" t="str">
        <x:v>US-023</x:v>
      </x:c>
      <x:c r="K28" s="24" t="str">
        <x:v>Een mobiele plaaslike klient lees status en verander veilige parameters in station/AP-modus; polling en logging bly spaarsaam en koersbegrens</x:v>
      </x:c>
      <x:c r="L28" s="24" t="str">
        <x:v>CHATOD-20260714-MCP-CP-MVP-001 / WIFI-RUNTIME-AMENDMENT-001 / MCP-US-024</x:v>
      </x:c>
    </x:row>
    <x:row r="29" ht="38" customHeight="1">
      <x:c r="A29" s="24" t="str">
        <x:v>MCP-US-025</x:v>
      </x:c>
      <x:c r="B29" s="24" t="str">
        <x:v>MCP-EPIC-004</x:v>
      </x:c>
      <x:c r="C29" s="24" t="str">
        <x:v>Browser Virtual MIDI Keyboard</x:v>
      </x:c>
      <x:c r="D29" s="24" t="str">
        <x:v>Web Engineer</x:v>
      </x:c>
      <x:c r="E29" s="24" t="str">
        <x:v>Must</x:v>
      </x:c>
      <x:c r="F29" s="24" t="str">
        <x:v>Backlog</x:v>
      </x:c>
      <x:c r="G29" s="24" t="str">
        <x:v>Sprint 5</x:v>
      </x:c>
      <x:c r="H29" s="24" t="str">
        <x:v>Post-MVP</x:v>
      </x:c>
      <x:c r="I29" s="65" t="n">
        <x:v>5</x:v>
      </x:c>
      <x:c r="J29" s="24" t="str">
        <x:v>US-024</x:v>
      </x:c>
      <x:c r="K29" s="24" t="str">
        <x:v>Klik/touch stuur note via dieselfde event-model</x:v>
      </x:c>
      <x:c r="L29" s="24" t="str">
        <x:v>CHATOD-20260714-MCP-CP-MVP-001 / MCP-US-025</x:v>
      </x:c>
    </x:row>
    <x:row r="30" ht="38" customHeight="1">
      <x:c r="A30" s="24" t="str">
        <x:v>MCP-US-026</x:v>
      </x:c>
      <x:c r="B30" s="24" t="str">
        <x:v>MCP-EPIC-004</x:v>
      </x:c>
      <x:c r="C30" s="24" t="str">
        <x:v>Simple Step Sequencer</x:v>
      </x:c>
      <x:c r="D30" s="24" t="str">
        <x:v>Web Engineer</x:v>
      </x:c>
      <x:c r="E30" s="24" t="str">
        <x:v>Must</x:v>
      </x:c>
      <x:c r="F30" s="24" t="str">
        <x:v>Backlog</x:v>
      </x:c>
      <x:c r="G30" s="24" t="str">
        <x:v>Sprint 5</x:v>
      </x:c>
      <x:c r="H30" s="24" t="str">
        <x:v>Post-MVP</x:v>
      </x:c>
      <x:c r="I30" s="65" t="n">
        <x:v>5</x:v>
      </x:c>
      <x:c r="J30" s="24" t="str">
        <x:v>US-011, US-024</x:v>
      </x:c>
      <x:c r="K30" s="24" t="str">
        <x:v>’n Kort patroon kan teen interne/eksterne klok loop en stop</x:v>
      </x:c>
      <x:c r="L30" s="24" t="str">
        <x:v>CHATOD-20260714-MCP-CP-MVP-001 / MCP-US-026</x:v>
      </x:c>
    </x:row>
    <x:row r="31" ht="38" customHeight="1">
      <x:c r="A31" s="24" t="str">
        <x:v>MCP-US-027</x:v>
      </x:c>
      <x:c r="B31" s="24" t="str">
        <x:v>MCP-EPIC-004</x:v>
      </x:c>
      <x:c r="C31" s="24" t="str">
        <x:v>Web Security And Recovery</x:v>
      </x:c>
      <x:c r="D31" s="24" t="str">
        <x:v>Web Engineer</x:v>
      </x:c>
      <x:c r="E31" s="24" t="str">
        <x:v>Must</x:v>
      </x:c>
      <x:c r="F31" s="24" t="str">
        <x:v>Backlog</x:v>
      </x:c>
      <x:c r="G31" s="24" t="str">
        <x:v>Sprint 5</x:v>
      </x:c>
      <x:c r="H31" s="24" t="str">
        <x:v>Post-MVP</x:v>
      </x:c>
      <x:c r="I31" s="65" t="n">
        <x:v>8</x:v>
      </x:c>
      <x:c r="J31" s="24" t="str">
        <x:v>US-024</x:v>
      </x:c>
      <x:c r="K31" s="24" t="str">
        <x:v>Vertroude-LAN/AP-grens, private credentials, sessielimiet, netwerkafskakeling en herstelpad is getoets</x:v>
      </x:c>
      <x:c r="L31" s="24" t="str">
        <x:v>CHATOD-20260714-MCP-CP-MVP-001 / WIFI-RUNTIME-AMENDMENT-001 / MCP-US-027</x:v>
      </x:c>
    </x:row>
    <x:row r="32" ht="38" customHeight="1">
      <x:c r="A32" s="24" t="str">
        <x:v>MCP-US-028</x:v>
      </x:c>
      <x:c r="B32" s="24" t="str">
        <x:v>MCP-EPIC-005</x:v>
      </x:c>
      <x:c r="C32" s="24" t="str">
        <x:v>Constrained MIDI File Parser</x:v>
      </x:c>
      <x:c r="D32" s="24" t="str">
        <x:v>Product/Functional</x:v>
      </x:c>
      <x:c r="E32" s="24" t="str">
        <x:v>Should</x:v>
      </x:c>
      <x:c r="F32" s="24" t="str">
        <x:v>Backlog</x:v>
      </x:c>
      <x:c r="G32" s="24" t="str">
        <x:v>Sprint 6+</x:v>
      </x:c>
      <x:c r="H32" s="24" t="str">
        <x:v>Later</x:v>
      </x:c>
      <x:c r="I32" s="65" t="n">
        <x:v>8</x:v>
      </x:c>
      <x:c r="J32" s="24" t="str">
        <x:v>US-006, US-011</x:v>
      </x:c>
      <x:c r="K32" s="24" t="str">
        <x:v>Ondersteunde formaat en gebeurtenislimiete faal veilig</x:v>
      </x:c>
      <x:c r="L32" s="24" t="str">
        <x:v>CHATOD-20260714-MCP-CP-MVP-001 / MCP-US-028</x:v>
      </x:c>
    </x:row>
    <x:row r="33" ht="38" customHeight="1">
      <x:c r="A33" s="24" t="str">
        <x:v>MCP-US-029</x:v>
      </x:c>
      <x:c r="B33" s="24" t="str">
        <x:v>MCP-EPIC-005</x:v>
      </x:c>
      <x:c r="C33" s="24" t="str">
        <x:v>Chip-Aware MIDI File Playback</x:v>
      </x:c>
      <x:c r="D33" s="24" t="str">
        <x:v>Product/Functional</x:v>
      </x:c>
      <x:c r="E33" s="24" t="str">
        <x:v>Should</x:v>
      </x:c>
      <x:c r="F33" s="24" t="str">
        <x:v>Backlog</x:v>
      </x:c>
      <x:c r="G33" s="24" t="str">
        <x:v>Sprint 6+</x:v>
      </x:c>
      <x:c r="H33" s="24" t="str">
        <x:v>Later</x:v>
      </x:c>
      <x:c r="I33" s="65" t="n">
        <x:v>8</x:v>
      </x:c>
      <x:c r="J33" s="24" t="str">
        <x:v>US-017, US-028</x:v>
      </x:c>
      <x:c r="K33" s="24" t="str">
        <x:v>Oortollige note word volgens die kern se stemlimiet hanteer</x:v>
      </x:c>
      <x:c r="L33" s="24" t="str">
        <x:v>CHATOD-20260714-MCP-CP-MVP-001 / MCP-US-029</x:v>
      </x:c>
    </x:row>
    <x:row r="34" ht="38" customHeight="1">
      <x:c r="A34" s="24" t="str">
        <x:v>MCP-US-030</x:v>
      </x:c>
      <x:c r="B34" s="24" t="str">
        <x:v>MCP-EPIC-005</x:v>
      </x:c>
      <x:c r="C34" s="24" t="str">
        <x:v>Local Media File Browser</x:v>
      </x:c>
      <x:c r="D34" s="24" t="str">
        <x:v>Product/Functional</x:v>
      </x:c>
      <x:c r="E34" s="24" t="str">
        <x:v>Should</x:v>
      </x:c>
      <x:c r="F34" s="24" t="str">
        <x:v>Backlog</x:v>
      </x:c>
      <x:c r="G34" s="24" t="str">
        <x:v>Sprint 6+</x:v>
      </x:c>
      <x:c r="H34" s="24" t="str">
        <x:v>Later</x:v>
      </x:c>
      <x:c r="I34" s="65" t="n">
        <x:v>8</x:v>
      </x:c>
      <x:c r="J34" s="24" t="str">
        <x:v>US-024, US-028</x:v>
      </x:c>
      <x:c r="K34" s="24" t="str">
        <x:v>Gebruiker kies ’n plaaslike MIDI-lêer sonder kodewysiging</x:v>
      </x:c>
      <x:c r="L34" s="24" t="str">
        <x:v>CHATOD-20260714-MCP-CP-MVP-001 / MCP-US-030</x:v>
      </x:c>
    </x:row>
    <x:row r="35" ht="38" customHeight="1">
      <x:c r="A35" s="24" t="str">
        <x:v>MCP-US-031</x:v>
      </x:c>
      <x:c r="B35" s="24" t="str">
        <x:v>MCP-EPIC-005</x:v>
      </x:c>
      <x:c r="C35" s="24" t="str">
        <x:v>Arpeggiator</x:v>
      </x:c>
      <x:c r="D35" s="24" t="str">
        <x:v>Product/Functional</x:v>
      </x:c>
      <x:c r="E35" s="24" t="str">
        <x:v>Could</x:v>
      </x:c>
      <x:c r="F35" s="24" t="str">
        <x:v>Backlog</x:v>
      </x:c>
      <x:c r="G35" s="24" t="str">
        <x:v>Sprint 6+</x:v>
      </x:c>
      <x:c r="H35" s="24" t="str">
        <x:v>Stretch</x:v>
      </x:c>
      <x:c r="I35" s="65" t="n">
        <x:v>5</x:v>
      </x:c>
      <x:c r="J35" s="24" t="str">
        <x:v>US-011, US-017</x:v>
      </x:c>
      <x:c r="K35" s="24" t="str">
        <x:v>Up/down/random patrone volg BPM en note-off</x:v>
      </x:c>
      <x:c r="L35" s="24" t="str">
        <x:v>CHATOD-20260714-MCP-CP-MVP-001 / MCP-US-031</x:v>
      </x:c>
    </x:row>
    <x:row r="36" ht="38" customHeight="1">
      <x:c r="A36" s="24" t="str">
        <x:v>MCP-US-032</x:v>
      </x:c>
      <x:c r="B36" s="24" t="str">
        <x:v>MCP-EPIC-005</x:v>
      </x:c>
      <x:c r="C36" s="24" t="str">
        <x:v>Chord Progression Generator</x:v>
      </x:c>
      <x:c r="D36" s="24" t="str">
        <x:v>Product/Functional</x:v>
      </x:c>
      <x:c r="E36" s="24" t="str">
        <x:v>Could</x:v>
      </x:c>
      <x:c r="F36" s="24" t="str">
        <x:v>Backlog</x:v>
      </x:c>
      <x:c r="G36" s="24" t="str">
        <x:v>Sprint 6+</x:v>
      </x:c>
      <x:c r="H36" s="24" t="str">
        <x:v>Stretch</x:v>
      </x:c>
      <x:c r="I36" s="65" t="n">
        <x:v>5</x:v>
      </x:c>
      <x:c r="J36" s="24" t="str">
        <x:v>US-026</x:v>
      </x:c>
      <x:c r="K36" s="24" t="str">
        <x:v>Sleutel, progressie, BPM en random seed is beheerbaar</x:v>
      </x:c>
      <x:c r="L36" s="24" t="str">
        <x:v>CHATOD-20260714-MCP-CP-MVP-001 / MCP-US-032</x:v>
      </x:c>
    </x:row>
    <x:row r="37" ht="38" customHeight="1">
      <x:c r="A37" s="24" t="str">
        <x:v>MCP-US-033</x:v>
      </x:c>
      <x:c r="B37" s="24" t="str">
        <x:v>MCP-EPIC-005</x:v>
      </x:c>
      <x:c r="C37" s="24" t="str">
        <x:v>Patch Save Load And Factory Reset</x:v>
      </x:c>
      <x:c r="D37" s="24" t="str">
        <x:v>Product/Functional</x:v>
      </x:c>
      <x:c r="E37" s="24" t="str">
        <x:v>Must</x:v>
      </x:c>
      <x:c r="F37" s="24" t="str">
        <x:v>Backlog</x:v>
      </x:c>
      <x:c r="G37" s="24" t="str">
        <x:v>Sprint 6+</x:v>
      </x:c>
      <x:c r="H37" s="24" t="str">
        <x:v>Post-MVP</x:v>
      </x:c>
      <x:c r="I37" s="65" t="n">
        <x:v>5</x:v>
      </x:c>
      <x:c r="J37" s="24" t="str">
        <x:v>US-005, US-024</x:v>
      </x:c>
      <x:c r="K37" s="24" t="str">
        <x:v>Geldige patch bly ná reboot; korrupsie val terug na veilige verstek</x:v>
      </x:c>
      <x:c r="L37" s="24" t="str">
        <x:v>CHATOD-20260714-MCP-CP-MVP-001 / MCP-US-033</x:v>
      </x:c>
    </x:row>
    <x:row r="38" ht="38" customHeight="1">
      <x:c r="A38" s="24" t="str">
        <x:v>MCP-US-034</x:v>
      </x:c>
      <x:c r="B38" s="24" t="str">
        <x:v>MCP-EPIC-006</x:v>
      </x:c>
      <x:c r="C38" s="24" t="str">
        <x:v>SynthCore Interface And Registry</x:v>
      </x:c>
      <x:c r="D38" s="24" t="str">
        <x:v>DSP/Chip Engineer</x:v>
      </x:c>
      <x:c r="E38" s="24" t="str">
        <x:v>Must</x:v>
      </x:c>
      <x:c r="F38" s="24" t="str">
        <x:v>Backlog</x:v>
      </x:c>
      <x:c r="G38" s="24" t="str">
        <x:v>Post-MVP</x:v>
      </x:c>
      <x:c r="H38" s="24" t="str">
        <x:v>Post-MVP</x:v>
      </x:c>
      <x:c r="I38" s="65" t="n">
        <x:v>5</x:v>
      </x:c>
      <x:c r="J38" s="24" t="str">
        <x:v>US-002, US-017</x:v>
      </x:c>
      <x:c r="K38" s="24" t="str">
        <x:v>Kern kan via registrasienaam gekies word sonder routerwysiging</x:v>
      </x:c>
      <x:c r="L38" s="24" t="str">
        <x:v>CHATOD-20260714-MCP-CP-MVP-001 / MCP-US-034</x:v>
      </x:c>
    </x:row>
    <x:row r="39" ht="38" customHeight="1">
      <x:c r="A39" s="24" t="str">
        <x:v>MCP-US-035</x:v>
      </x:c>
      <x:c r="B39" s="24" t="str">
        <x:v>MCP-EPIC-006</x:v>
      </x:c>
      <x:c r="C39" s="24" t="str">
        <x:v>Core Selection By Config And Web</x:v>
      </x:c>
      <x:c r="D39" s="24" t="str">
        <x:v>DSP/Chip Engineer</x:v>
      </x:c>
      <x:c r="E39" s="24" t="str">
        <x:v>Must</x:v>
      </x:c>
      <x:c r="F39" s="24" t="str">
        <x:v>Backlog</x:v>
      </x:c>
      <x:c r="G39" s="24" t="str">
        <x:v>MVP-late</x:v>
      </x:c>
      <x:c r="H39" s="24" t="str">
        <x:v>Post-MVP</x:v>
      </x:c>
      <x:c r="I39" s="65" t="n">
        <x:v>8</x:v>
      </x:c>
      <x:c r="J39" s="24" t="str">
        <x:v>US-024, US-034</x:v>
      </x:c>
      <x:c r="K39" s="24" t="str">
        <x:v>Kernkeuse via config/web gebruik dieselfde registry</x:v>
      </x:c>
      <x:c r="L39" s="24" t="str">
        <x:v>CHATOD-20260714-MCP-CP-MVP-001 / MCP-US-035</x:v>
      </x:c>
    </x:row>
    <x:row r="40" ht="38" customHeight="1">
      <x:c r="A40" s="24" t="str">
        <x:v>MCP-US-036</x:v>
      </x:c>
      <x:c r="B40" s="24" t="str">
        <x:v>MCP-EPIC-006</x:v>
      </x:c>
      <x:c r="C40" s="24" t="str">
        <x:v>Core Selection By MIDI Channel</x:v>
      </x:c>
      <x:c r="D40" s="24" t="str">
        <x:v>DSP/Chip Engineer</x:v>
      </x:c>
      <x:c r="E40" s="24" t="str">
        <x:v>Must</x:v>
      </x:c>
      <x:c r="F40" s="24" t="str">
        <x:v>Backlog</x:v>
      </x:c>
      <x:c r="G40" s="24" t="str">
        <x:v>MVP-late</x:v>
      </x:c>
      <x:c r="H40" s="24" t="str">
        <x:v>Post-MVP</x:v>
      </x:c>
      <x:c r="I40" s="65" t="n">
        <x:v>5</x:v>
      </x:c>
      <x:c r="J40" s="24" t="str">
        <x:v>US-008, US-034</x:v>
      </x:c>
      <x:c r="K40" s="24" t="str">
        <x:v>Kanaal-tot-kern-toewysing is dinamies en diagnosties sigbaar</x:v>
      </x:c>
      <x:c r="L40" s="24" t="str">
        <x:v>CHATOD-20260714-MCP-CP-MVP-001 / MCP-US-036</x:v>
      </x:c>
    </x:row>
    <x:row r="41" ht="38" customHeight="1">
      <x:c r="A41" s="24" t="str">
        <x:v>MCP-US-037</x:v>
      </x:c>
      <x:c r="B41" s="24" t="str">
        <x:v>MCP-EPIC-006</x:v>
      </x:c>
      <x:c r="C41" s="24" t="str">
        <x:v>Concurrent Multi-Core Runtime</x:v>
      </x:c>
      <x:c r="D41" s="24" t="str">
        <x:v>DSP/Chip Engineer</x:v>
      </x:c>
      <x:c r="E41" s="24" t="str">
        <x:v>Must</x:v>
      </x:c>
      <x:c r="F41" s="24" t="str">
        <x:v>Backlog</x:v>
      </x:c>
      <x:c r="G41" s="24" t="str">
        <x:v>MVP-late</x:v>
      </x:c>
      <x:c r="H41" s="24" t="str">
        <x:v>Post-MVP</x:v>
      </x:c>
      <x:c r="I41" s="65" t="n">
        <x:v>8</x:v>
      </x:c>
      <x:c r="J41" s="24" t="str">
        <x:v>US-035, US-036</x:v>
      </x:c>
      <x:c r="K41" s="24" t="str">
        <x:v>Minstens twee verskillende kerninstansies loop parallel binne 'n gemete CPU/RAM/latensiebegroting</x:v>
      </x:c>
      <x:c r="L41" s="24" t="str">
        <x:v>CHATOD-20260714-MCP-CP-MVP-001 / MIDI-TRANSPORT-MULTICORE-AMENDMENT-001 / MCP-US-037</x:v>
      </x:c>
    </x:row>
    <x:row r="42" ht="38" customHeight="1">
      <x:c r="A42" s="24" t="str">
        <x:v>MCP-US-038</x:v>
      </x:c>
      <x:c r="B42" s="24" t="str">
        <x:v>MCP-EPIC-006</x:v>
      </x:c>
      <x:c r="C42" s="24" t="str">
        <x:v>6581 SID Core Spike</x:v>
      </x:c>
      <x:c r="D42" s="24" t="str">
        <x:v>DSP/Chip Engineer</x:v>
      </x:c>
      <x:c r="E42" s="24" t="str">
        <x:v>Should</x:v>
      </x:c>
      <x:c r="F42" s="24" t="str">
        <x:v>Backlog</x:v>
      </x:c>
      <x:c r="G42" s="24" t="str">
        <x:v>Post-MVP</x:v>
      </x:c>
      <x:c r="H42" s="24" t="str">
        <x:v>Later</x:v>
      </x:c>
      <x:c r="I42" s="65" t="n">
        <x:v>3</x:v>
      </x:c>
      <x:c r="J42" s="24" t="str">
        <x:v>US-034</x:v>
      </x:c>
      <x:c r="K42" s="24" t="str">
        <x:v>Akkuraatheidsdoel, filterbeperking en drie-stem-uitvoer is bewys</x:v>
      </x:c>
      <x:c r="L42" s="24" t="str">
        <x:v>CHATOD-20260714-MCP-CP-MVP-001 / MCP-US-038</x:v>
      </x:c>
    </x:row>
    <x:row r="43" ht="38" customHeight="1">
      <x:c r="A43" s="24" t="str">
        <x:v>MCP-US-039</x:v>
      </x:c>
      <x:c r="B43" s="24" t="str">
        <x:v>MCP-EPIC-006</x:v>
      </x:c>
      <x:c r="C43" s="24" t="str">
        <x:v>SID File Local Playback</x:v>
      </x:c>
      <x:c r="D43" s="24" t="str">
        <x:v>DSP/Chip Engineer</x:v>
      </x:c>
      <x:c r="E43" s="24" t="str">
        <x:v>Should</x:v>
      </x:c>
      <x:c r="F43" s="24" t="str">
        <x:v>Backlog</x:v>
      </x:c>
      <x:c r="G43" s="24" t="str">
        <x:v>Post-MVP</x:v>
      </x:c>
      <x:c r="H43" s="24" t="str">
        <x:v>Later</x:v>
      </x:c>
      <x:c r="I43" s="65" t="n">
        <x:v>8</x:v>
      </x:c>
      <x:c r="J43" s="24" t="str">
        <x:v>US-038</x:v>
      </x:c>
      <x:c r="K43" s="24" t="str">
        <x:v>’n begrensde SID-subset speel van plaaslike media</x:v>
      </x:c>
      <x:c r="L43" s="24" t="str">
        <x:v>CHATOD-20260714-MCP-CP-MVP-001 / MCP-US-039</x:v>
      </x:c>
    </x:row>
    <x:row r="44" ht="38" customHeight="1">
      <x:c r="A44" s="24" t="str">
        <x:v>MCP-US-040</x:v>
      </x:c>
      <x:c r="B44" s="24" t="str">
        <x:v>MCP-EPIC-006</x:v>
      </x:c>
      <x:c r="C44" s="24" t="str">
        <x:v>SID File Remote Streaming</x:v>
      </x:c>
      <x:c r="D44" s="24" t="str">
        <x:v>DSP/Chip Engineer</x:v>
      </x:c>
      <x:c r="E44" s="24" t="str">
        <x:v>Should</x:v>
      </x:c>
      <x:c r="F44" s="24" t="str">
        <x:v>Backlog</x:v>
      </x:c>
      <x:c r="G44" s="24" t="str">
        <x:v>Post-MVP</x:v>
      </x:c>
      <x:c r="H44" s="24" t="str">
        <x:v>Later</x:v>
      </x:c>
      <x:c r="I44" s="65" t="n">
        <x:v>8</x:v>
      </x:c>
      <x:c r="J44" s="24" t="str">
        <x:v>US-023, US-039</x:v>
      </x:c>
      <x:c r="K44" s="24" t="str">
        <x:v>Bronlisensie, buffering, timeouts en veilige mislukking is bewys</x:v>
      </x:c>
      <x:c r="L44" s="24" t="str">
        <x:v>CHATOD-20260714-MCP-CP-MVP-001 / MCP-US-040</x:v>
      </x:c>
    </x:row>
    <x:row r="45" ht="38" customHeight="1">
      <x:c r="A45" s="24" t="str">
        <x:v>MCP-US-041</x:v>
      </x:c>
      <x:c r="B45" s="24" t="str">
        <x:v>MCP-EPIC-006</x:v>
      </x:c>
      <x:c r="C45" s="24" t="str">
        <x:v>OPL2 Core Adapter</x:v>
      </x:c>
      <x:c r="D45" s="24" t="str">
        <x:v>DSP/Chip Engineer</x:v>
      </x:c>
      <x:c r="E45" s="24" t="str">
        <x:v>Should</x:v>
      </x:c>
      <x:c r="F45" s="24" t="str">
        <x:v>Backlog</x:v>
      </x:c>
      <x:c r="G45" s="24" t="str">
        <x:v>Post-MVP</x:v>
      </x:c>
      <x:c r="H45" s="24" t="str">
        <x:v>Later</x:v>
      </x:c>
      <x:c r="I45" s="65" t="n">
        <x:v>5</x:v>
      </x:c>
      <x:c r="J45" s="24" t="str">
        <x:v>US-034</x:v>
      </x:c>
      <x:c r="K45" s="24" t="str">
        <x:v>OPL2-register-/stemkontrak werk deur dieselfde router</x:v>
      </x:c>
      <x:c r="L45" s="24" t="str">
        <x:v>CHATOD-20260714-MCP-CP-MVP-001 / MCP-US-041</x:v>
      </x:c>
    </x:row>
    <x:row r="46" ht="38" customHeight="1">
      <x:c r="A46" s="24" t="str">
        <x:v>MCP-US-042</x:v>
      </x:c>
      <x:c r="B46" s="24" t="str">
        <x:v>MCP-EPIC-006</x:v>
      </x:c>
      <x:c r="C46" s="24" t="str">
        <x:v>OPL3 Core Adapter</x:v>
      </x:c>
      <x:c r="D46" s="24" t="str">
        <x:v>DSP/Chip Engineer</x:v>
      </x:c>
      <x:c r="E46" s="24" t="str">
        <x:v>Should</x:v>
      </x:c>
      <x:c r="F46" s="24" t="str">
        <x:v>Backlog</x:v>
      </x:c>
      <x:c r="G46" s="24" t="str">
        <x:v>Post-MVP</x:v>
      </x:c>
      <x:c r="H46" s="24" t="str">
        <x:v>Later</x:v>
      </x:c>
      <x:c r="I46" s="65" t="n">
        <x:v>5</x:v>
      </x:c>
      <x:c r="J46" s="24" t="str">
        <x:v>US-041</x:v>
      </x:c>
      <x:c r="K46" s="24" t="str">
        <x:v>OPL3-vermoëns word sonder OPL2-regressie bygevoeg</x:v>
      </x:c>
      <x:c r="L46" s="24" t="str">
        <x:v>CHATOD-20260714-MCP-CP-MVP-001 / MCP-US-042</x:v>
      </x:c>
    </x:row>
    <x:row r="47" ht="38" customHeight="1">
      <x:c r="A47" s="24" t="str">
        <x:v>MCP-US-043</x:v>
      </x:c>
      <x:c r="B47" s="24" t="str">
        <x:v>MCP-EPIC-007</x:v>
      </x:c>
      <x:c r="C47" s="24" t="str">
        <x:v>DSP Budget And Bypass</x:v>
      </x:c>
      <x:c r="D47" s="24" t="str">
        <x:v>Hardware/DSP</x:v>
      </x:c>
      <x:c r="E47" s="24" t="str">
        <x:v>Must</x:v>
      </x:c>
      <x:c r="F47" s="24" t="str">
        <x:v>Backlog</x:v>
      </x:c>
      <x:c r="G47" s="24" t="str">
        <x:v>MVP-late</x:v>
      </x:c>
      <x:c r="H47" s="24" t="str">
        <x:v>Post-MVP</x:v>
      </x:c>
      <x:c r="I47" s="65" t="n">
        <x:v>5</x:v>
      </x:c>
      <x:c r="J47" s="24" t="str">
        <x:v>US-021, US-022</x:v>
      </x:c>
      <x:c r="K47" s="24" t="str">
        <x:v>Harde RAM/latensiegrens en klikvrye bypass is gemeet</x:v>
      </x:c>
      <x:c r="L47" s="24" t="str">
        <x:v>CHATOD-20260714-MCP-CP-MVP-001 / MCP-US-043</x:v>
      </x:c>
    </x:row>
    <x:row r="48" ht="38" customHeight="1">
      <x:c r="A48" s="24" t="str">
        <x:v>MCP-US-044</x:v>
      </x:c>
      <x:c r="B48" s="24" t="str">
        <x:v>MCP-EPIC-007</x:v>
      </x:c>
      <x:c r="C48" s="24" t="str">
        <x:v>Lightweight Delay Echo</x:v>
      </x:c>
      <x:c r="D48" s="24" t="str">
        <x:v>Hardware/DSP</x:v>
      </x:c>
      <x:c r="E48" s="24" t="str">
        <x:v>Must</x:v>
      </x:c>
      <x:c r="F48" s="24" t="str">
        <x:v>Backlog</x:v>
      </x:c>
      <x:c r="G48" s="24" t="str">
        <x:v>MVP-late</x:v>
      </x:c>
      <x:c r="H48" s="24" t="str">
        <x:v>Post-MVP</x:v>
      </x:c>
      <x:c r="I48" s="65" t="n">
        <x:v>5</x:v>
      </x:c>
      <x:c r="J48" s="24" t="str">
        <x:v>US-043</x:v>
      </x:c>
      <x:c r="K48" s="24" t="str">
        <x:v>Beperkte delay is hoorbaar, beheerbaar en MIDI-stabiel</x:v>
      </x:c>
      <x:c r="L48" s="24" t="str">
        <x:v>CHATOD-20260714-MCP-CP-MVP-001 / MCP-US-044</x:v>
      </x:c>
    </x:row>
    <x:row r="49" ht="38" customHeight="1">
      <x:c r="A49" s="24" t="str">
        <x:v>MCP-US-045</x:v>
      </x:c>
      <x:c r="B49" s="24" t="str">
        <x:v>MCP-EPIC-007</x:v>
      </x:c>
      <x:c r="C49" s="24" t="str">
        <x:v>Lightweight Reverb Spike</x:v>
      </x:c>
      <x:c r="D49" s="24" t="str">
        <x:v>Hardware/DSP</x:v>
      </x:c>
      <x:c r="E49" s="24" t="str">
        <x:v>Must</x:v>
      </x:c>
      <x:c r="F49" s="24" t="str">
        <x:v>Backlog</x:v>
      </x:c>
      <x:c r="G49" s="24" t="str">
        <x:v>MVP-late</x:v>
      </x:c>
      <x:c r="H49" s="24" t="str">
        <x:v>Post-MVP</x:v>
      </x:c>
      <x:c r="I49" s="65" t="n">
        <x:v>3</x:v>
      </x:c>
      <x:c r="J49" s="24" t="str">
        <x:v>US-043</x:v>
      </x:c>
      <x:c r="K49" s="24" t="str">
        <x:v>Eenvoudige reverb slaag die begroting of lewer ’n gedokumenteerde no-go</x:v>
      </x:c>
      <x:c r="L49" s="24" t="str">
        <x:v>CHATOD-20260714-MCP-CP-MVP-001 / MCP-US-045</x:v>
      </x:c>
    </x:row>
    <x:row r="50" ht="38" customHeight="1">
      <x:c r="A50" s="24" t="str">
        <x:v>MCP-US-046</x:v>
      </x:c>
      <x:c r="B50" s="24" t="str">
        <x:v>MCP-EPIC-007</x:v>
      </x:c>
      <x:c r="C50" s="24" t="str">
        <x:v>Footswitch And Status LED</x:v>
      </x:c>
      <x:c r="D50" s="24" t="str">
        <x:v>Hardware/DSP</x:v>
      </x:c>
      <x:c r="E50" s="24" t="str">
        <x:v>Should</x:v>
      </x:c>
      <x:c r="F50" s="24" t="str">
        <x:v>Backlog</x:v>
      </x:c>
      <x:c r="G50" s="24" t="str">
        <x:v>Post-MVP</x:v>
      </x:c>
      <x:c r="H50" s="24" t="str">
        <x:v>Later</x:v>
      </x:c>
      <x:c r="I50" s="65" t="n">
        <x:v>5</x:v>
      </x:c>
      <x:c r="J50" s="24" t="str">
        <x:v>US-004</x:v>
      </x:c>
      <x:c r="K50" s="24" t="str">
        <x:v>Debounce, bypass en LED-status werk sonder globale status</x:v>
      </x:c>
      <x:c r="L50" s="24" t="str">
        <x:v>CHATOD-20260714-MCP-CP-MVP-001 / MCP-US-046</x:v>
      </x:c>
    </x:row>
    <x:row r="51" ht="38" customHeight="1">
      <x:c r="A51" s="24" t="str">
        <x:v>MCP-US-047</x:v>
      </x:c>
      <x:c r="B51" s="24" t="str">
        <x:v>MCP-EPIC-007</x:v>
      </x:c>
      <x:c r="C51" s="24" t="str">
        <x:v>Pedal Power, Safe Volume And Audio Protection</x:v>
      </x:c>
      <x:c r="D51" s="24" t="str">
        <x:v>Hardware/DSP</x:v>
      </x:c>
      <x:c r="E51" s="24" t="str">
        <x:v>Should</x:v>
      </x:c>
      <x:c r="F51" s="24" t="str">
        <x:v>Backlog</x:v>
      </x:c>
      <x:c r="G51" s="24" t="str">
        <x:v>Post-MVP</x:v>
      </x:c>
      <x:c r="H51" s="24" t="str">
        <x:v>Later</x:v>
      </x:c>
      <x:c r="I51" s="65" t="n">
        <x:v>5</x:v>
      </x:c>
      <x:c r="J51" s="24" t="str">
        <x:v>MCP-US-021, MCP-US-075</x:v>
      </x:c>
      <x:c r="K51" s="24" t="str">
        <x:v>Power, speaker/headphone/line-out boundaries, gain or attenuation, mute, filtering, ESD and polarity protection are breadboarded and measured at documented safe test points</x:v>
      </x:c>
      <x:c r="L51" s="24" t="str">
        <x:v>CHATOD-20260714-MCP-CP-MVP-001 / MCP-US-047</x:v>
      </x:c>
    </x:row>
    <x:row r="52" ht="38" customHeight="1">
      <x:c r="A52" s="24" t="str">
        <x:v>MCP-US-048</x:v>
      </x:c>
      <x:c r="B52" s="24" t="str">
        <x:v>MCP-EPIC-007</x:v>
      </x:c>
      <x:c r="C52" s="24" t="str">
        <x:v>KiCad Reference Pedal PCB</x:v>
      </x:c>
      <x:c r="D52" s="24" t="str">
        <x:v>Hardware/DSP</x:v>
      </x:c>
      <x:c r="E52" s="24" t="str">
        <x:v>Should</x:v>
      </x:c>
      <x:c r="F52" s="24" t="str">
        <x:v>Backlog</x:v>
      </x:c>
      <x:c r="G52" s="24" t="str">
        <x:v>Post-MVP</x:v>
      </x:c>
      <x:c r="H52" s="24" t="str">
        <x:v>Later</x:v>
      </x:c>
      <x:c r="I52" s="65" t="n">
        <x:v>5</x:v>
      </x:c>
      <x:c r="J52" s="24" t="str">
        <x:v>US-047</x:v>
      </x:c>
      <x:c r="K52" s="24" t="str">
        <x:v>Hardware Engineer and experienced KiCad Product Owner deliver schematic, PCB, footprints, test points and BOM; ERC, DRC, bring-up and manufacturing outputs pass</x:v>
      </x:c>
      <x:c r="L52" s="24" t="str">
        <x:v>CHATOD-20260714-MCP-CP-MVP-001 / MCP-US-048</x:v>
      </x:c>
    </x:row>
    <x:row r="53" ht="38" customHeight="1">
      <x:c r="A53" s="24" t="str">
        <x:v>MCP-US-049</x:v>
      </x:c>
      <x:c r="B53" s="24" t="str">
        <x:v>MCP-EPIC-007</x:v>
      </x:c>
      <x:c r="C53" s="24" t="str">
        <x:v>External Audio Input Architecture</x:v>
      </x:c>
      <x:c r="D53" s="24" t="str">
        <x:v>Hardware/DSP</x:v>
      </x:c>
      <x:c r="E53" s="24" t="str">
        <x:v>Won't now</x:v>
      </x:c>
      <x:c r="F53" s="24" t="str">
        <x:v>Backlog</x:v>
      </x:c>
      <x:c r="G53" s="24" t="str">
        <x:v>Post-MVP</x:v>
      </x:c>
      <x:c r="H53" s="24" t="str">
        <x:v>Parking lot</x:v>
      </x:c>
      <x:c r="I53" s="65" t="n">
        <x:v>5</x:v>
      </x:c>
      <x:c r="J53" s="24" t="str">
        <x:v>US-047</x:v>
      </x:c>
      <x:c r="K53" s="24" t="str">
        <x:v>ADC/codec, headroom en DSP-roete het ’n goedgekeurde ADR</x:v>
      </x:c>
      <x:c r="L53" s="24" t="str">
        <x:v>CHATOD-20260714-MCP-CP-MVP-001 / MCP-US-049</x:v>
      </x:c>
    </x:row>
    <x:row r="54" ht="38" customHeight="1">
      <x:c r="A54" s="24" t="str">
        <x:v>MCP-US-050</x:v>
      </x:c>
      <x:c r="B54" s="24" t="str">
        <x:v>MCP-EPIC-008</x:v>
      </x:c>
      <x:c r="C54" s="24" t="str">
        <x:v>Host Simulator And Contract Tests</x:v>
      </x:c>
      <x:c r="D54" s="24" t="str">
        <x:v>QA/Release</x:v>
      </x:c>
      <x:c r="E54" s="24" t="str">
        <x:v>Must</x:v>
      </x:c>
      <x:c r="F54" s="24" t="str">
        <x:v>Backlog</x:v>
      </x:c>
      <x:c r="G54" s="24" t="str">
        <x:v>Release train</x:v>
      </x:c>
      <x:c r="H54" s="24" t="str">
        <x:v>MVP-Enabler</x:v>
      </x:c>
      <x:c r="I54" s="65" t="n">
        <x:v>5</x:v>
      </x:c>
      <x:c r="J54" s="24" t="str">
        <x:v>US-002, US-006</x:v>
      </x:c>
      <x:c r="K54" s="24" t="str">
        <x:v>Kern/MIDI/clock-toetse loop op macOS, Windows en Linux sonder bord</x:v>
      </x:c>
      <x:c r="L54" s="24" t="str">
        <x:v>CHATOD-20260714-MCP-CP-MVP-001 / MCP-US-050</x:v>
      </x:c>
    </x:row>
    <x:row r="55" ht="38" customHeight="1">
      <x:c r="A55" s="24" t="str">
        <x:v>MCP-US-051</x:v>
      </x:c>
      <x:c r="B55" s="24" t="str">
        <x:v>MCP-EPIC-008</x:v>
      </x:c>
      <x:c r="C55" s="24" t="str">
        <x:v>Hardware-In-The-Loop Test Runner</x:v>
      </x:c>
      <x:c r="D55" s="24" t="str">
        <x:v>QA/Release</x:v>
      </x:c>
      <x:c r="E55" s="24" t="str">
        <x:v>Must</x:v>
      </x:c>
      <x:c r="F55" s="24" t="str">
        <x:v>In Review</x:v>
      </x:c>
      <x:c r="G55" s="24" t="str">
        <x:v>Sprint 1</x:v>
      </x:c>
      <x:c r="H55" s="24" t="str">
        <x:v>MVP-Enabler (In Review)</x:v>
      </x:c>
      <x:c r="I55" s="65" t="n">
        <x:v>5</x:v>
      </x:c>
      <x:c r="J55" s="24" t="str">
        <x:v>US-003, US-016</x:v>
      </x:c>
      <x:c r="K55" s="24" t="str">
        <x:v>Deploy/closure/boot/import execution remains green; audio adapter adds rate-limited heap, reset and dropout burn-in telemetry</x:v>
      </x:c>
      <x:c r="L55" s="24" t="str">
        <x:v>CHATOD-20260714-MCP-CP-MVP-001 / MCP-US-051-IMP-001 / v0.11.1</x:v>
      </x:c>
    </x:row>
    <x:row r="56" ht="38" customHeight="1">
      <x:c r="A56" s="24" t="str">
        <x:v>MCP-US-052</x:v>
      </x:c>
      <x:c r="B56" s="24" t="str">
        <x:v>MCP-EPIC-008</x:v>
      </x:c>
      <x:c r="C56" s="24" t="str">
        <x:v>Cross-Board Capability Profiles</x:v>
      </x:c>
      <x:c r="D56" s="24" t="str">
        <x:v>QA/Release</x:v>
      </x:c>
      <x:c r="E56" s="24" t="str">
        <x:v>Must</x:v>
      </x:c>
      <x:c r="F56" s="24" t="str">
        <x:v>Backlog</x:v>
      </x:c>
      <x:c r="G56" s="24" t="str">
        <x:v>Release train</x:v>
      </x:c>
      <x:c r="H56" s="24" t="str">
        <x:v>Post-MVP</x:v>
      </x:c>
      <x:c r="I56" s="65" t="n">
        <x:v>8</x:v>
      </x:c>
      <x:c r="J56" s="24" t="str">
        <x:v>US-004</x:v>
      </x:c>
      <x:c r="K56" s="24" t="str">
        <x:v>'n Tweede BLE-geskikte CircuitPython-mikrobeheerder werk via 'n profiel sonder S2-regressie</x:v>
      </x:c>
      <x:c r="L56" s="24" t="str">
        <x:v>CHATOD-20260714-MCP-CP-MVP-001 / MCP-US-052</x:v>
      </x:c>
    </x:row>
    <x:row r="57" ht="38" customHeight="1">
      <x:c r="A57" s="24" t="str">
        <x:v>MCP-US-053</x:v>
      </x:c>
      <x:c r="B57" s="24" t="str">
        <x:v>MCP-EPIC-008</x:v>
      </x:c>
      <x:c r="C57" s="24" t="str">
        <x:v>Raspberry Pi Linux Blinka Adapter</x:v>
      </x:c>
      <x:c r="D57" s="24" t="str">
        <x:v>QA/Release</x:v>
      </x:c>
      <x:c r="E57" s="24" t="str">
        <x:v>Should</x:v>
      </x:c>
      <x:c r="F57" s="24" t="str">
        <x:v>Backlog</x:v>
      </x:c>
      <x:c r="G57" s="24" t="str">
        <x:v>Release train</x:v>
      </x:c>
      <x:c r="H57" s="24" t="str">
        <x:v>Later</x:v>
      </x:c>
      <x:c r="I57" s="65" t="n">
        <x:v>5</x:v>
      </x:c>
      <x:c r="J57" s="24" t="str">
        <x:v>US-014, US-050</x:v>
      </x:c>
      <x:c r="K57" s="24" t="str">
        <x:v>Pi Zero/2/3 gebruik Linux/Blinka sonder om firmwareportabiliteit te beweer</x:v>
      </x:c>
      <x:c r="L57" s="24" t="str">
        <x:v>CHATOD-20260714-MCP-CP-MVP-001 / MCP-US-053</x:v>
      </x:c>
    </x:row>
    <x:row r="58" ht="38" customHeight="1">
      <x:c r="A58" s="24" t="str">
        <x:v>MCP-US-054</x:v>
      </x:c>
      <x:c r="B58" s="24" t="str">
        <x:v>MCP-EPIC-008</x:v>
      </x:c>
      <x:c r="C58" s="24" t="str">
        <x:v>Windows USB MIDI Acceptance</x:v>
      </x:c>
      <x:c r="D58" s="24" t="str">
        <x:v>QA/Release</x:v>
      </x:c>
      <x:c r="E58" s="24" t="str">
        <x:v>Must</x:v>
      </x:c>
      <x:c r="F58" s="24" t="str">
        <x:v>Backlog</x:v>
      </x:c>
      <x:c r="G58" s="24" t="str">
        <x:v>Release train</x:v>
      </x:c>
      <x:c r="H58" s="24" t="str">
        <x:v>Post-MVP</x:v>
      </x:c>
      <x:c r="I58" s="65" t="n">
        <x:v>5</x:v>
      </x:c>
      <x:c r="J58" s="24" t="str">
        <x:v>US-003, US-007</x:v>
      </x:c>
      <x:c r="K58" s="24" t="str">
        <x:v>Toestel verskyn en ontvang note op ’n skoon Windows-rekenaar</x:v>
      </x:c>
      <x:c r="L58" s="24" t="str">
        <x:v>CHATOD-20260714-MCP-CP-MVP-001 / MCP-US-054</x:v>
      </x:c>
    </x:row>
    <x:row r="59" ht="38" customHeight="1">
      <x:c r="A59" s="24" t="str">
        <x:v>MCP-US-055</x:v>
      </x:c>
      <x:c r="B59" s="24" t="str">
        <x:v>MCP-EPIC-008</x:v>
      </x:c>
      <x:c r="C59" s="24" t="str">
        <x:v>macOS Logic Pro Audible D1 Acceptance</x:v>
      </x:c>
      <x:c r="D59" s="24" t="str">
        <x:v>QA/Release</x:v>
      </x:c>
      <x:c r="E59" s="24" t="str">
        <x:v>Must</x:v>
      </x:c>
      <x:c r="F59" s="24" t="str">
        <x:v>Backlog</x:v>
      </x:c>
      <x:c r="G59" s="24" t="str">
        <x:v>Release train</x:v>
      </x:c>
      <x:c r="H59" s="24" t="str">
        <x:v>MVP-Must</x:v>
      </x:c>
      <x:c r="I59" s="65" t="n">
        <x:v>5</x:v>
      </x:c>
      <x:c r="J59" s="24" t="str">
        <x:v>MCP-US-003, MCP-US-007, MCP-US-009, MCP-US-014, MCP-US-016, MCP-US-063, MCP-US-075</x:v>
      </x:c>
      <x:c r="K59" s="24" t="str">
        <x:v>Logic selects the board as External MIDI destination and the user hears D1 through the approved safe output profile; the board then passes the 8-hour USB MIDI, audio and heap burn-in</x:v>
      </x:c>
      <x:c r="L59" s="24" t="str">
        <x:v>CHATOD-20260714-MCP-CP-MVP-001 / MCP-US-055</x:v>
      </x:c>
    </x:row>
    <x:row r="60" ht="38" customHeight="1">
      <x:c r="A60" s="24" t="str">
        <x:v>MCP-US-056</x:v>
      </x:c>
      <x:c r="B60" s="24" t="str">
        <x:v>MCP-EPIC-008</x:v>
      </x:c>
      <x:c r="C60" s="24" t="str">
        <x:v>Install Recovery And Diagnostics</x:v>
      </x:c>
      <x:c r="D60" s="24" t="str">
        <x:v>QA/Release</x:v>
      </x:c>
      <x:c r="E60" s="24" t="str">
        <x:v>Must</x:v>
      </x:c>
      <x:c r="F60" s="24" t="str">
        <x:v>Backlog</x:v>
      </x:c>
      <x:c r="G60" s="24" t="str">
        <x:v>Release train</x:v>
      </x:c>
      <x:c r="H60" s="24" t="str">
        <x:v>Post-MVP</x:v>
      </x:c>
      <x:c r="I60" s="65" t="n">
        <x:v>5</x:v>
      </x:c>
      <x:c r="J60" s="24" t="str">
        <x:v>US-005, US-051</x:v>
      </x:c>
      <x:c r="K60" s="24" t="str">
        <x:v>Beginner-runbook dek geen MIDI, geen klank, safe mode en herstel</x:v>
      </x:c>
      <x:c r="L60" s="24" t="str">
        <x:v>CHATOD-20260714-MCP-CP-MVP-001 / MCP-US-056</x:v>
      </x:c>
    </x:row>
    <x:row r="61" ht="38" customHeight="1">
      <x:c r="A61" s="25" t="str">
        <x:v>MCP-US-057</x:v>
      </x:c>
      <x:c r="B61" s="25" t="str">
        <x:v>MCP-EPIC-008</x:v>
      </x:c>
      <x:c r="C61" s="25" t="str">
        <x:v>MVP Release Candidate And Demo</x:v>
      </x:c>
      <x:c r="D61" s="25" t="str">
        <x:v>QA/Release</x:v>
      </x:c>
      <x:c r="E61" s="25" t="str">
        <x:v>Must</x:v>
      </x:c>
      <x:c r="F61" s="25" t="str">
        <x:v>Backlog</x:v>
      </x:c>
      <x:c r="G61" s="25" t="str">
        <x:v>Release train</x:v>
      </x:c>
      <x:c r="H61" s="25" t="str">
        <x:v>MVP-Must</x:v>
      </x:c>
      <x:c r="I61" s="66" t="n">
        <x:v>5</x:v>
      </x:c>
      <x:c r="J61" s="25" t="str">
        <x:v>US-001 to US-009, US-014, US-016, US-050, US-051, US-055, US-063, US-075</x:v>
      </x:c>
      <x:c r="K61" s="25" t="str">
        <x:v>Tag, release notes, known limitations and a passing 8-hour burn-in report accompany the Logic-to-audible-D1 demo</x:v>
      </x:c>
      <x:c r="L61" s="25" t="str">
        <x:v>CHATOD-20260714-MCP-CP-MVP-001 / MCP-US-057</x:v>
      </x:c>
    </x:row>
    <x:row r="62" ht="34" customHeight="1">
      <x:c r="A62" s="70" t="str">
        <x:v>MCP-US-058</x:v>
      </x:c>
      <x:c r="B62" s="70" t="str">
        <x:v>MCP-EPIC-002</x:v>
      </x:c>
      <x:c r="C62" s="70" t="str">
        <x:v>Guitar MIDI Bend And Slide Event Semantics</x:v>
      </x:c>
      <x:c r="D62" s="70" t="str">
        <x:v>MIDI Engineer</x:v>
      </x:c>
      <x:c r="E62" s="76" t="str">
        <x:v>Must</x:v>
      </x:c>
      <x:c r="F62" s="70" t="str">
        <x:v>Backlog</x:v>
      </x:c>
      <x:c r="G62" s="70" t="str">
        <x:v>Sprint 4</x:v>
      </x:c>
      <x:c r="H62" s="70" t="str">
        <x:v>Post-MVP</x:v>
      </x:c>
      <x:c r="I62" s="77" t="n">
        <x:v>5</x:v>
      </x:c>
      <x:c r="J62" s="83" t="str">
        <x:v>US-008, US-010</x:v>
      </x:c>
      <x:c r="K62" s="83" t="str">
        <x:v>Multi-kanaal note en per-kanaal bends behou onafhanklike string/slide-semantiek met konfigureerbare bend range</x:v>
      </x:c>
      <x:c r="L62" s="83" t="str">
        <x:v>CHATOD-20260714-MCP-CP-MVP-001 / MCP-US-058</x:v>
      </x:c>
    </x:row>
    <x:row r="63" ht="34" customHeight="1">
      <x:c r="A63" s="74" t="str">
        <x:v>MCP-US-059</x:v>
      </x:c>
      <x:c r="B63" s="74" t="str">
        <x:v>MCP-EPIC-008</x:v>
      </x:c>
      <x:c r="C63" s="74" t="str">
        <x:v>MIDI Guitar Hardware Acceptance</x:v>
      </x:c>
      <x:c r="D63" s="74" t="str">
        <x:v>QA/Release</x:v>
      </x:c>
      <x:c r="E63" s="76" t="str">
        <x:v>Must</x:v>
      </x:c>
      <x:c r="F63" s="74" t="str">
        <x:v>Backlog</x:v>
      </x:c>
      <x:c r="G63" s="74" t="str">
        <x:v>Release train</x:v>
      </x:c>
      <x:c r="H63" s="74" t="str">
        <x:v>Post-MVP</x:v>
      </x:c>
      <x:c r="I63" s="78" t="n">
        <x:v>5</x:v>
      </x:c>
      <x:c r="J63" s="83" t="str">
        <x:v>US-018, US-058</x:v>
      </x:c>
      <x:c r="K63" s="83" t="str">
        <x:v>'n Generiese MIDI-kitaar en Fishman-verwysing speel note, akkoorde, bends en slides; geen toestelnaam is 'n kodekonstante nie</x:v>
      </x:c>
      <x:c r="L63" s="83" t="str">
        <x:v>CHATOD-20260714-MCP-CP-MVP-001 / MCP-US-059</x:v>
      </x:c>
    </x:row>
    <x:row r="64" ht="34" customHeight="1">
      <x:c r="A64" s="83" t="str">
        <x:v>MCP-US-060</x:v>
      </x:c>
      <x:c r="B64" s="83" t="str">
        <x:v>MCP-EPIC-008</x:v>
      </x:c>
      <x:c r="C64" s="83" t="str">
        <x:v>Standalone External MIDI Host Acceptance</x:v>
      </x:c>
      <x:c r="D64" s="83" t="str">
        <x:v>QA/Release</x:v>
      </x:c>
      <x:c r="E64" s="83" t="str">
        <x:v>Must</x:v>
      </x:c>
      <x:c r="F64" s="83" t="str">
        <x:v>Backlog</x:v>
      </x:c>
      <x:c r="G64" s="83" t="str">
        <x:v>Release train</x:v>
      </x:c>
      <x:c r="H64" s="83" t="str">
        <x:v>Post-MVP</x:v>
      </x:c>
      <x:c r="I64" s="83" t="n">
        <x:v>5</x:v>
      </x:c>
      <x:c r="J64" s="83" t="str">
        <x:v>US-013, US-017</x:v>
      </x:c>
      <x:c r="K64" s="83" t="str">
        <x:v>Controller na Raspberry Pi/eksterne USB-host na DIN/UART lewer note, bend en clock sonder DAW</x:v>
      </x:c>
      <x:c r="L64" s="83" t="str">
        <x:v>CHATOD-20260714-MCP-CP-MVP-001 / MIDI-TRANSPORT-MULTICORE-AMENDMENT-001 / MCP-US-060</x:v>
      </x:c>
    </x:row>
    <x:row r="65" ht="34" customHeight="1">
      <x:c r="A65" s="83" t="str">
        <x:v>MCP-US-061</x:v>
      </x:c>
      <x:c r="B65" s="83" t="str">
        <x:v>MCP-EPIC-006</x:v>
      </x:c>
      <x:c r="C65" s="83" t="str">
        <x:v>Multi-Core Resource Guard And Telemetry</x:v>
      </x:c>
      <x:c r="D65" s="83" t="str">
        <x:v>DSP/Chip Engineer</x:v>
      </x:c>
      <x:c r="E65" s="83" t="str">
        <x:v>Must</x:v>
      </x:c>
      <x:c r="F65" s="83" t="str">
        <x:v>Backlog</x:v>
      </x:c>
      <x:c r="G65" s="83" t="str">
        <x:v>MVP-late</x:v>
      </x:c>
      <x:c r="H65" s="83" t="str">
        <x:v>Post-MVP</x:v>
      </x:c>
      <x:c r="I65" s="83" t="n">
        <x:v>5</x:v>
      </x:c>
      <x:c r="J65" s="83" t="str">
        <x:v>US-037</x:v>
      </x:c>
      <x:c r="K65" s="83" t="str">
        <x:v>Heap, looplatensie en dropout word gemeet; onveilige addisionele kern word deterministies geweier of afgeskakel</x:v>
      </x:c>
      <x:c r="L65" s="83" t="str">
        <x:v>CHATOD-20260714-MCP-CP-MVP-001 / MIDI-TRANSPORT-MULTICORE-AMENDMENT-001 / MCP-US-061</x:v>
      </x:c>
    </x:row>
    <x:row r="66" ht="48" customHeight="1">
      <x:c r="A66" s="83" t="str">
        <x:v>MCP-US-062</x:v>
      </x:c>
      <x:c r="B66" s="83" t="str">
        <x:v>MCP-EPIC-002</x:v>
      </x:c>
      <x:c r="C66" s="83" t="str">
        <x:v>BLE MIDI Transport And Capability Gate</x:v>
      </x:c>
      <x:c r="D66" s="83" t="str">
        <x:v>MIDI Engineer</x:v>
      </x:c>
      <x:c r="E66" s="83" t="str">
        <x:v>Must</x:v>
      </x:c>
      <x:c r="F66" s="83" t="str">
        <x:v>Impediment</x:v>
      </x:c>
      <x:c r="G66" s="83" t="str">
        <x:v>Sprint 4</x:v>
      </x:c>
      <x:c r="H66" s="83" t="str">
        <x:v>Post-MVP</x:v>
      </x:c>
      <x:c r="I66" s="83" t="n">
        <x:v>8</x:v>
      </x:c>
      <x:c r="J66" s="83" t="str">
        <x:v>US-006, US-007, US-052</x:v>
      </x:c>
      <x:c r="K66" s="83" t="str">
        <x:v>S2-negatiewe gate aanvaar; positiewe BLE-HIL wag op 'n werklike BLE-bord</x:v>
      </x:c>
      <x:c r="L66" s="83" t="str">
        <x:v>CHATOD-20260714-MCP-CP-MVP-001 / MCP-US-062 / S2-NEGATIVE-ACCEPTED</x:v>
      </x:c>
    </x:row>
    <x:row r="67" ht="48" customHeight="1">
      <x:c r="A67" s="83" t="str">
        <x:v>MCP-US-063</x:v>
      </x:c>
      <x:c r="B67" s="83" t="str">
        <x:v>MCP-EPIC-003</x:v>
      </x:c>
      <x:c r="C67" s="83" t="str">
        <x:v>Portable D1 Baseline Synth Core</x:v>
      </x:c>
      <x:c r="D67" s="83" t="str">
        <x:v>DSP/Chip Engineer</x:v>
      </x:c>
      <x:c r="E67" s="83" t="str">
        <x:v>Must</x:v>
      </x:c>
      <x:c r="F67" s="83" t="str">
        <x:v>Done</x:v>
      </x:c>
      <x:c r="G67" s="83" t="str">
        <x:v>Sprint 3</x:v>
      </x:c>
      <x:c r="H67" s="83" t="str">
        <x:v>MVP-Must</x:v>
      </x:c>
      <x:c r="I67" s="83" t="n">
        <x:v>8</x:v>
      </x:c>
      <x:c r="J67" s="83" t="str">
        <x:v>US-006, US-008, US-009, US-014, US-016</x:v>
      </x:c>
      <x:c r="K67" s="83" t="str">
        <x:v>Product Owner accepted v0.15.0 d1-diagnose: sine, saw and square, A4=440Hz, velocity and final PASS; audible Logic/I2S remains US-055 after US-075</x:v>
      </x:c>
      <x:c r="L67" s="83" t="str">
        <x:v>CHATOD-20260714-MCP-CP-MVP-001 / MCP-US-063-HOST-ACCEPTED-001 / v0.15.0</x:v>
      </x:c>
    </x:row>
    <x:row r="68" ht="48" customHeight="1">
      <x:c r="A68" s="140" t="str">
        <x:v>MCP-US-064</x:v>
      </x:c>
      <x:c r="B68" s="140" t="str">
        <x:v>MCP-EPIC-009</x:v>
      </x:c>
      <x:c r="C68" s="140" t="str">
        <x:v>Enterprise Vision And Architecture Baseline</x:v>
      </x:c>
      <x:c r="D68" s="140" t="str">
        <x:v>Chief Enterprise Architect</x:v>
      </x:c>
      <x:c r="E68" s="140" t="str">
        <x:v>Must</x:v>
      </x:c>
      <x:c r="F68" s="140" t="str">
        <x:v>Done</x:v>
      </x:c>
      <x:c r="G68" s="140" t="str">
        <x:v>Sprint 2</x:v>
      </x:c>
      <x:c r="H68" s="140" t="str">
        <x:v>Done</x:v>
      </x:c>
      <x:c r="I68" s="140" t="n">
        <x:v>5</x:v>
      </x:c>
      <x:c r="J68" s="140" t="str">
        <x:v>US-001, US-002</x:v>
      </x:c>
      <x:c r="K68" s="140" t="str">
        <x:v>Enterprise vision plus framework, solution and deployment architecture form one cross-linked baseline</x:v>
      </x:c>
      <x:c r="L68" s="140" t="str">
        <x:v>CHATOD-20260714-MCP-CP-MVP-001 / FRAMEWORK-ENGINEERING-001 / MCP-US-064</x:v>
      </x:c>
    </x:row>
    <x:row r="69" ht="48" customHeight="1">
      <x:c r="A69" s="127" t="str">
        <x:v>MCP-US-065</x:v>
      </x:c>
      <x:c r="B69" s="127" t="str">
        <x:v>MCP-EPIC-009</x:v>
      </x:c>
      <x:c r="C69" s="127" t="str">
        <x:v>Enterprise Meta Model, Glossary And Artefact Taxonomy</x:v>
      </x:c>
      <x:c r="D69" s="127" t="str">
        <x:v>Framework Engineer</x:v>
      </x:c>
      <x:c r="E69" s="127" t="str">
        <x:v>Must</x:v>
      </x:c>
      <x:c r="F69" s="127" t="str">
        <x:v>Done</x:v>
      </x:c>
      <x:c r="G69" s="127" t="str">
        <x:v>Sprint 2</x:v>
      </x:c>
      <x:c r="H69" s="127" t="str">
        <x:v>Done</x:v>
      </x:c>
      <x:c r="I69" s="127" t="n">
        <x:v>5</x:v>
      </x:c>
      <x:c r="J69" s="127" t="str">
        <x:v>US-064</x:v>
      </x:c>
      <x:c r="K69" s="127" t="str">
        <x:v>Roles, stories, components, tests, risks and decisions have named relationships and owners</x:v>
      </x:c>
      <x:c r="L69" s="127" t="str">
        <x:v>CHATOD-20260714-MCP-CP-MVP-001 / FRAMEWORK-ENGINEERING-001 / MCP-US-065</x:v>
      </x:c>
    </x:row>
    <x:row r="70" ht="48" customHeight="1">
      <x:c r="A70" s="140" t="str">
        <x:v>MCP-US-066</x:v>
      </x:c>
      <x:c r="B70" s="140" t="str">
        <x:v>MCP-EPIC-009</x:v>
      </x:c>
      <x:c r="C70" s="140" t="str">
        <x:v>Quality Manual, Test Strategy And Review Engine</x:v>
      </x:c>
      <x:c r="D70" s="140" t="str">
        <x:v>QA/Release</x:v>
      </x:c>
      <x:c r="E70" s="140" t="str">
        <x:v>Must</x:v>
      </x:c>
      <x:c r="F70" s="140" t="str">
        <x:v>Done</x:v>
      </x:c>
      <x:c r="G70" s="140" t="str">
        <x:v>Sprint 2</x:v>
      </x:c>
      <x:c r="H70" s="140" t="str">
        <x:v>Done</x:v>
      </x:c>
      <x:c r="I70" s="140" t="n">
        <x:v>5</x:v>
      </x:c>
      <x:c r="J70" s="140" t="str">
        <x:v>US-064, US-065</x:v>
      </x:c>
      <x:c r="K70" s="140" t="str">
        <x:v>Definition of Done points to repeatable quality, test and review gates without treating docs as proof</x:v>
      </x:c>
      <x:c r="L70" s="140" t="str">
        <x:v>CHATOD-20260714-MCP-CP-MVP-001 / FRAMEWORK-ENGINEERING-001 / MCP-US-066</x:v>
      </x:c>
    </x:row>
    <x:row r="71" ht="48" customHeight="1">
      <x:c r="A71" s="127" t="str">
        <x:v>MCP-US-067</x:v>
      </x:c>
      <x:c r="B71" s="127" t="str">
        <x:v>MCP-EPIC-009</x:v>
      </x:c>
      <x:c r="C71" s="127" t="str">
        <x:v>Prompt Compiler, Context Loader And Knowledge Base Structure</x:v>
      </x:c>
      <x:c r="D71" s="127" t="str">
        <x:v>Framework Engineer</x:v>
      </x:c>
      <x:c r="E71" s="127" t="str">
        <x:v>Should</x:v>
      </x:c>
      <x:c r="F71" s="127" t="str">
        <x:v>Done</x:v>
      </x:c>
      <x:c r="G71" s="127" t="str">
        <x:v>Sprint 2</x:v>
      </x:c>
      <x:c r="H71" s="127" t="str">
        <x:v>Done</x:v>
      </x:c>
      <x:c r="I71" s="127" t="n">
        <x:v>5</x:v>
      </x:c>
      <x:c r="J71" s="127" t="str">
        <x:v>US-065, US-066</x:v>
      </x:c>
      <x:c r="K71" s="127" t="str">
        <x:v>Agents load minimal authoritative context and produce traceable story packages without runtime LLM dependency</x:v>
      </x:c>
      <x:c r="L71" s="127" t="str">
        <x:v>CHATOD-20260714-MCP-CP-MVP-001 / FRAMEWORK-ENGINEERING-001 / MCP-US-067</x:v>
      </x:c>
    </x:row>
    <x:row r="72" ht="48" customHeight="1">
      <x:c r="A72" s="140" t="str">
        <x:v>MCP-US-068</x:v>
      </x:c>
      <x:c r="B72" s="140" t="str">
        <x:v>MCP-EPIC-008</x:v>
      </x:c>
      <x:c r="C72" s="140" t="str">
        <x:v>Stable USB MIDI Instance Identity</x:v>
      </x:c>
      <x:c r="D72" s="140" t="str">
        <x:v>Embedded/Release</x:v>
      </x:c>
      <x:c r="E72" s="140" t="str">
        <x:v>Must</x:v>
      </x:c>
      <x:c r="F72" s="140" t="str">
        <x:v>Backlog</x:v>
      </x:c>
      <x:c r="G72" s="140" t="str">
        <x:v>Release train</x:v>
      </x:c>
      <x:c r="H72" s="140" t="str">
        <x:v>Post-MVP</x:v>
      </x:c>
      <x:c r="I72" s="140" t="n">
        <x:v>5</x:v>
      </x:c>
      <x:c r="J72" s="140" t="str">
        <x:v>US-003, US-004, US-055</x:v>
      </x:c>
      <x:c r="K72" s="140" t="str">
        <x:v>Each device exposes a recognizable product name plus stable four-character instance ID; two devices are distinguishable without UID/MAC leakage</x:v>
      </x:c>
      <x:c r="L72" s="140" t="str">
        <x:v>CHATOD-20260714-MCP-CP-MVP-001 / MCP-US-007-ACCEPTANCE / MCP-US-068</x:v>
      </x:c>
    </x:row>
    <x:row r="73" ht="52" customHeight="1">
      <x:c r="A73" s="127" t="str">
        <x:v>MCP-US-069</x:v>
      </x:c>
      <x:c r="B73" s="127" t="str">
        <x:v>MCP-EPIC-010</x:v>
      </x:c>
      <x:c r="C73" s="127" t="str">
        <x:v>External I2C Status Display Adapter</x:v>
      </x:c>
      <x:c r="D73" s="127" t="str">
        <x:v>Embedded/Web</x:v>
      </x:c>
      <x:c r="E73" s="127" t="str">
        <x:v>Should</x:v>
      </x:c>
      <x:c r="F73" s="127" t="str">
        <x:v>Backlog</x:v>
      </x:c>
      <x:c r="G73" s="127" t="str">
        <x:v>Post-MVP</x:v>
      </x:c>
      <x:c r="H73" s="127" t="str">
        <x:v>Later</x:v>
      </x:c>
      <x:c r="I73" s="127" t="n">
        <x:v>5</x:v>
      </x:c>
      <x:c r="J73" s="127" t="str">
        <x:v>US-004, US-022</x:v>
      </x:c>
      <x:c r="K73" s="127" t="str">
        <x:v>Capability-gated SSD1306/similar display shows rate-limited status; absence never changes synth behavior</x:v>
      </x:c>
      <x:c r="L73" s="127" t="str">
        <x:v>CHATOD-20260714-MCP-CP-MVP-001 / MCP-US-007-ACCEPTANCE-START / MCP-US-069</x:v>
      </x:c>
    </x:row>
    <x:row r="74" ht="52" customHeight="1">
      <x:c r="A74" s="140" t="str">
        <x:v>MCP-US-070</x:v>
      </x:c>
      <x:c r="B74" s="140" t="str">
        <x:v>MCP-EPIC-010</x:v>
      </x:c>
      <x:c r="C74" s="140" t="str">
        <x:v>Physical Chip Transport And Capability Abstraction</x:v>
      </x:c>
      <x:c r="D74" s="140" t="str">
        <x:v>Solution Architect</x:v>
      </x:c>
      <x:c r="E74" s="140" t="str">
        <x:v>Should</x:v>
      </x:c>
      <x:c r="F74" s="140" t="str">
        <x:v>Backlog</x:v>
      </x:c>
      <x:c r="G74" s="140" t="str">
        <x:v>Post-MVP</x:v>
      </x:c>
      <x:c r="H74" s="140" t="str">
        <x:v>Later</x:v>
      </x:c>
      <x:c r="I74" s="140" t="n">
        <x:v>8</x:v>
      </x:c>
      <x:c r="J74" s="140" t="str">
        <x:v>US-004, US-034</x:v>
      </x:c>
      <x:c r="K74" s="140" t="str">
        <x:v>Class-based GPIO, I2C-expander and SPI transport ports are capability-gated without chip or pin constants</x:v>
      </x:c>
      <x:c r="L74" s="140" t="str">
        <x:v>CHATOD-20260714-MCP-CP-MVP-001 / MCP-US-007-ACCEPTANCE-START / MCP-US-070</x:v>
      </x:c>
    </x:row>
    <x:row r="75" ht="52" customHeight="1">
      <x:c r="A75" s="127" t="str">
        <x:v>MCP-US-071</x:v>
      </x:c>
      <x:c r="B75" s="127" t="str">
        <x:v>MCP-EPIC-010</x:v>
      </x:c>
      <x:c r="C75" s="127" t="str">
        <x:v>Physical SN76489 Hardware Adapter</x:v>
      </x:c>
      <x:c r="D75" s="127" t="str">
        <x:v>DSP/Chip Engineer</x:v>
      </x:c>
      <x:c r="E75" s="127" t="str">
        <x:v>Should</x:v>
      </x:c>
      <x:c r="F75" s="127" t="str">
        <x:v>Backlog</x:v>
      </x:c>
      <x:c r="G75" s="127" t="str">
        <x:v>Post-MVP</x:v>
      </x:c>
      <x:c r="H75" s="127" t="str">
        <x:v>Later</x:v>
      </x:c>
      <x:c r="I75" s="127" t="n">
        <x:v>8</x:v>
      </x:c>
      <x:c r="J75" s="127" t="str">
        <x:v>US-017, US-070</x:v>
      </x:c>
      <x:c r="K75" s="127" t="str">
        <x:v>Verified chip identity, levels, clock and bus sequences drive hardware; failures fall back to emulation</x:v>
      </x:c>
      <x:c r="L75" s="127" t="str">
        <x:v>CHATOD-20260714-MCP-CP-MVP-001 / MCP-US-007-ACCEPTANCE-START / MCP-US-071</x:v>
      </x:c>
    </x:row>
    <x:row r="76" ht="52" customHeight="1">
      <x:c r="A76" s="140" t="str">
        <x:v>MCP-US-072</x:v>
      </x:c>
      <x:c r="B76" s="140" t="str">
        <x:v>MCP-EPIC-010</x:v>
      </x:c>
      <x:c r="C76" s="140" t="str">
        <x:v>Physical SID6581 Feasibility And Adapter</x:v>
      </x:c>
      <x:c r="D76" s="140" t="str">
        <x:v>DSP/Chip Engineer</x:v>
      </x:c>
      <x:c r="E76" s="140" t="str">
        <x:v>Should</x:v>
      </x:c>
      <x:c r="F76" s="140" t="str">
        <x:v>Backlog</x:v>
      </x:c>
      <x:c r="G76" s="140" t="str">
        <x:v>Post-MVP</x:v>
      </x:c>
      <x:c r="H76" s="140" t="str">
        <x:v>Later</x:v>
      </x:c>
      <x:c r="I76" s="140" t="n">
        <x:v>13</x:v>
      </x:c>
      <x:c r="J76" s="140" t="str">
        <x:v>US-038, US-070</x:v>
      </x:c>
      <x:c r="K76" s="140" t="str">
        <x:v>Power, levels, clock, register bus and analog output receive a measured go/no-go before implementation</x:v>
      </x:c>
      <x:c r="L76" s="140" t="str">
        <x:v>CHATOD-20260714-MCP-CP-MVP-001 / MCP-US-007-ACCEPTANCE-START / MCP-US-072</x:v>
      </x:c>
    </x:row>
    <x:row r="77" ht="52" customHeight="1">
      <x:c r="A77" s="127" t="str">
        <x:v>MCP-US-073</x:v>
      </x:c>
      <x:c r="B77" s="127" t="str">
        <x:v>MCP-EPIC-010</x:v>
      </x:c>
      <x:c r="C77" s="127" t="str">
        <x:v>ArduinoOPL2 SPI Hardware Adapter</x:v>
      </x:c>
      <x:c r="D77" s="127" t="str">
        <x:v>DSP/Chip Engineer</x:v>
      </x:c>
      <x:c r="E77" s="127" t="str">
        <x:v>Should</x:v>
      </x:c>
      <x:c r="F77" s="127" t="str">
        <x:v>Backlog</x:v>
      </x:c>
      <x:c r="G77" s="127" t="str">
        <x:v>Post-MVP</x:v>
      </x:c>
      <x:c r="H77" s="127" t="str">
        <x:v>Later</x:v>
      </x:c>
      <x:c r="I77" s="127" t="n">
        <x:v>8</x:v>
      </x:c>
      <x:c r="J77" s="127" t="str">
        <x:v>US-041, US-070</x:v>
      </x:c>
      <x:c r="K77" s="127" t="str">
        <x:v>DhrBaksteen SPI contract and license are reviewed and verified by real HIL without coupling bus and emulator logic</x:v>
      </x:c>
      <x:c r="L77" s="127" t="str">
        <x:v>CHATOD-20260714-MCP-CP-MVP-001 / MCP-US-007-ACCEPTANCE-START / MCP-US-073</x:v>
      </x:c>
    </x:row>
    <x:row r="78" ht="52" customHeight="1">
      <x:c r="A78" s="140" t="str">
        <x:v>MCP-US-074</x:v>
      </x:c>
      <x:c r="B78" s="140" t="str">
        <x:v>MCP-EPIC-010</x:v>
      </x:c>
      <x:c r="C78" s="140" t="str">
        <x:v>Emulated Or Physical Core Backend Selection And Fallback</x:v>
      </x:c>
      <x:c r="D78" s="140" t="str">
        <x:v>Solution Architect/DSP</x:v>
      </x:c>
      <x:c r="E78" s="140" t="str">
        <x:v>Should</x:v>
      </x:c>
      <x:c r="F78" s="140" t="str">
        <x:v>Backlog</x:v>
      </x:c>
      <x:c r="G78" s="140" t="str">
        <x:v>Post-MVP</x:v>
      </x:c>
      <x:c r="H78" s="140" t="str">
        <x:v>Later</x:v>
      </x:c>
      <x:c r="I78" s="140" t="n">
        <x:v>8</x:v>
      </x:c>
      <x:c r="J78" s="140" t="str">
        <x:v>US-034, US-070, one physical adapter</x:v>
      </x:c>
      <x:c r="K78" s="140" t="str">
        <x:v>Config/web selects emulated or physical per core; emulation is default/fallback and physical mode avoids duplicate rendering</x:v>
      </x:c>
      <x:c r="L78" s="140" t="str">
        <x:v>CHATOD-20260714-MCP-CP-MVP-001 / MCP-US-007-ACCEPTANCE-START / MCP-US-074</x:v>
      </x:c>
    </x:row>
    <x:row r="79">
      <x:c r="A79" t="str">
        <x:v>MCP-US-075</x:v>
      </x:c>
      <x:c r="B79" t="str">
        <x:v>MCP-EPIC-007</x:v>
      </x:c>
      <x:c r="C79" t="str">
        <x:v>Safe Development Audio Load And Volume Gate</x:v>
      </x:c>
      <x:c r="D79" t="str">
        <x:v>Hardware/DSP</x:v>
      </x:c>
      <x:c r="E79" t="str">
        <x:v>Must</x:v>
      </x:c>
      <x:c r="F79" t="str">
        <x:v>In Review</x:v>
      </x:c>
      <x:c r="G79" t="str">
        <x:v>Sprint 3</x:v>
      </x:c>
      <x:c r="H79" t="str">
        <x:v>MVP-Enabler</x:v>
      </x:c>
      <x:c r="I79" t="n">
        <x:v>5</x:v>
      </x:c>
      <x:c r="J79" t="str">
        <x:v>MCP-US-016, MCP-US-063</x:v>
      </x:c>
      <x:c r="K79" t="str">
        <x:v>v0.16.0 startup mute, 0.08 gain, 0.25 ceiling and low-volume I2S profile pass 120 host tests; Done waits for audible 4-8 ohm speaker HIL without direct headphone, line-in or potentiometer across BTL</x:v>
      </x:c>
      <x:c r="L79" t="str">
        <x:v>CHATOD-20260714-MCP-CP-MVP-001 / MCP-US-075-START / v0.16.0</x:v>
      </x:c>
    </x:row>
  </x:sheetData>
  <x:mergeCells>
    <x:mergeCell ref="A1:L1"/>
    <x:mergeCell ref="A2:L2"/>
  </x:mergeCells>
  <x:conditionalFormatting sqref="E5:E61">
    <x:cfRule type="containsText" dxfId="0" priority="1" operator="containsText" text="Must"/>
  </x:conditionalFormatting>
  <x:conditionalFormatting sqref="F5:F61">
    <x:cfRule type="containsText" dxfId="1" priority="2" operator="containsText" text="Done"/>
    <x:cfRule type="containsText" dxfId="2" priority="3" operator="containsText" text="Ready"/>
    <x:cfRule type="containsText" dxfId="3" priority="4" operator="containsText" text="Blocked"/>
  </x:conditionalFormatting>
  <x:dataValidations count="7">
    <x:dataValidation type="list" sqref="E5:E61">
      <x:formula1>"Must,Should,Could,Won't now"</x:formula1>
    </x:dataValidation>
    <x:dataValidation type="list" sqref="F5:F61">
      <x:formula1>"Backlog,Ready,In Progress,Blocked,Review,Done"</x:formula1>
    </x:dataValidation>
    <x:dataValidation type="list" sqref="E62:E63">
      <x:formula1>"Must,Should,Could,Won't now"</x:formula1>
    </x:dataValidation>
    <x:dataValidation type="list" sqref="F62:F63">
      <x:formula1>"Backlog,Ready,In Progress,Review,Done,Impediment"</x:formula1>
    </x:dataValidation>
    <x:dataValidation type="list" sqref="E66:E67">
      <x:formula1>"Must,Should,Could,Won't now"</x:formula1>
    </x:dataValidation>
    <x:dataValidation type="list" sqref="F66:F67">
      <x:formula1>"Backlog,In Progress,In Review,Done,Blocked"</x:formula1>
    </x:dataValidation>
    <x:dataValidation type="list" sqref="F5:F67">
      <x:formula1>"Backlog,Ready,In Progress,Impediment,In 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dc196b0f124b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2" hidden="0" customWidth="1"/>
    <x:col min="4" max="4" width="12" hidden="0" customWidth="1"/>
    <x:col min="5" max="5" width="12" hidden="0" customWidth="1"/>
    <x:col min="6" max="6" width="56" hidden="0" customWidth="1"/>
  </x:cols>
  <x:sheetData>
    <x:row r="1" ht="32" customHeight="1">
      <x:c r="A1" s="3" t="str">
        <x:v>Epic-oorsig</x:v>
      </x:c>
    </x:row>
    <x:row r="2" ht="28" customHeight="1">
      <x:c r="A2" s="7" t="str">
        <x:v>Formules tel die lewende Backlog; geen handgetelde statusse nie</x:v>
      </x:c>
    </x:row>
    <x:row r="4" ht="28" customHeight="1">
      <x:c r="A4" s="14" t="str">
        <x:v>Epic</x:v>
      </x:c>
      <x:c r="B4" s="40" t="str">
        <x:v>Naam</x:v>
      </x:c>
      <x:c r="C4" s="40" t="str">
        <x:v>Stories</x:v>
      </x:c>
      <x:c r="D4" s="40" t="str">
        <x:v>Must</x:v>
      </x:c>
      <x:c r="E4" s="40" t="str">
        <x:v>Done</x:v>
      </x:c>
      <x:c r="F4" s="15" t="str">
        <x:v>Primêre doel</x:v>
      </x:c>
    </x:row>
    <x:row r="5" ht="32" customHeight="1">
      <x:c r="A5" s="23" t="str">
        <x:v>MCP-EPIC-001</x:v>
      </x:c>
      <x:c r="B5" s="23" t="str">
        <x:v>Platform Foundation</x:v>
      </x:c>
      <x:c r="C5" s="64" t="n">
        <x:f>COUNTIF('Backlog'!$B$5:$B$200,A5)</x:f>
        <x:v>5</x:v>
      </x:c>
      <x:c r="D5" s="64" t="n">
        <x:f>COUNTIFS('Backlog'!$B$5:$B$200,A5,'Backlog'!$E$5:$E$200,"Must")</x:f>
        <x:v>4</x:v>
      </x:c>
      <x:c r="E5" s="64" t="n">
        <x:f>COUNTIFS('Backlog'!$B$5:$B$200,A5,'Backlog'!$F$5:$F$200,"Done")</x:f>
        <x:v>5</x:v>
      </x:c>
      <x:c r="F5" s="23" t="str">
        <x:v>MVP enablers: safe boot, board profile and configuration boundary</x:v>
      </x:c>
    </x:row>
    <x:row r="6" ht="32" customHeight="1">
      <x:c r="A6" s="24" t="str">
        <x:v>MCP-EPIC-002</x:v>
      </x:c>
      <x:c r="B6" s="24" t="str">
        <x:v>MIDI And Clock</x:v>
      </x:c>
      <x:c r="C6" s="65" t="n">
        <x:f>COUNTIF('Backlog'!$B$5:$B$200,A6)</x:f>
        <x:v>10</x:v>
      </x:c>
      <x:c r="D6" s="65" t="n">
        <x:f>COUNTIFS('Backlog'!$B$5:$B$200,A6,'Backlog'!$E$5:$E$200,"Must")</x:f>
        <x:v>10</x:v>
      </x:c>
      <x:c r="E6" s="65" t="n">
        <x:f>COUNTIFS('Backlog'!$B$5:$B$200,A6,'Backlog'!$F$5:$F$200,"Done")</x:f>
        <x:v>4</x:v>
      </x:c>
      <x:c r="F6" s="24" t="str">
        <x:v>MVP USB-MIDI/Note semantics; clock, BLE, DIN and guitar expression post-MVP</x:v>
      </x:c>
    </x:row>
    <x:row r="7" ht="32" customHeight="1">
      <x:c r="A7" s="24" t="str">
        <x:v>MCP-EPIC-003</x:v>
      </x:c>
      <x:c r="B7" s="24" t="str">
        <x:v>Audio And Chip Core</x:v>
      </x:c>
      <x:c r="C7" s="65" t="n">
        <x:f>COUNTIF('Backlog'!$B$5:$B$200,A7)</x:f>
        <x:v>9</x:v>
      </x:c>
      <x:c r="D7" s="65" t="n">
        <x:f>COUNTIFS('Backlog'!$B$5:$B$200,A7,'Backlog'!$E$5:$E$200,"Must")</x:f>
        <x:v>9</x:v>
      </x:c>
      <x:c r="E7" s="65" t="n">
        <x:f>COUNTIFS('Backlog'!$B$5:$B$200,A7,'Backlog'!$F$5:$F$200,"Done")</x:f>
        <x:v>3</x:v>
      </x:c>
      <x:c r="F7" s="24" t="str">
        <x:v>Standalone I2S preflight and D1 first; SN76489/SID/OPL/stereo post-MVP</x:v>
      </x:c>
    </x:row>
    <x:row r="8" ht="32" customHeight="1">
      <x:c r="A8" s="24" t="str">
        <x:v>MCP-EPIC-004</x:v>
      </x:c>
      <x:c r="B8" s="24" t="str">
        <x:v>Local Web Control</x:v>
      </x:c>
      <x:c r="C8" s="65" t="n">
        <x:f>COUNTIF('Backlog'!$B$5:$B$200,A8)</x:f>
        <x:v>6</x:v>
      </x:c>
      <x:c r="D8" s="65" t="n">
        <x:f>COUNTIFS('Backlog'!$B$5:$B$200,A8,'Backlog'!$E$5:$E$200,"Must")</x:f>
        <x:v>6</x:v>
      </x:c>
      <x:c r="E8" s="65" t="n">
        <x:f>COUNTIFS('Backlog'!$B$5:$B$200,A8,'Backlog'!$F$5:$F$200,"Done")</x:f>
        <x:v>0</x:v>
      </x:c>
      <x:c r="F8" s="24" t="str">
        <x:v>Mobile-first webbeheer, station-IP, beveiligde AP-fallback en recovery</x:v>
      </x:c>
    </x:row>
    <x:row r="9" ht="32" customHeight="1">
      <x:c r="A9" s="24" t="str">
        <x:v>MCP-EPIC-005</x:v>
      </x:c>
      <x:c r="B9" s="24" t="str">
        <x:v>Files, Harmony And Performance Tools</x:v>
      </x:c>
      <x:c r="C9" s="65" t="n">
        <x:f>COUNTIF('Backlog'!$B$5:$B$200,A9)</x:f>
        <x:v>6</x:v>
      </x:c>
      <x:c r="D9" s="65" t="n">
        <x:f>COUNTIFS('Backlog'!$B$5:$B$200,A9,'Backlog'!$E$5:$E$200,"Must")</x:f>
        <x:v>1</x:v>
      </x:c>
      <x:c r="E9" s="65" t="n">
        <x:f>COUNTIFS('Backlog'!$B$5:$B$200,A9,'Backlog'!$F$5:$F$200,"Done")</x:f>
        <x:v>0</x:v>
      </x:c>
      <x:c r="F9" s="24" t="str">
        <x:v>Lêers, arpeggiasie, akkoorde en patches</x:v>
      </x:c>
    </x:row>
    <x:row r="10" ht="32" customHeight="1">
      <x:c r="A10" s="24" t="str">
        <x:v>MCP-EPIC-006</x:v>
      </x:c>
      <x:c r="B10" s="24" t="str">
        <x:v>Multi-Core Expansion</x:v>
      </x:c>
      <x:c r="C10" s="65" t="n">
        <x:f>COUNTIF('Backlog'!$B$5:$B$200,A10)</x:f>
        <x:v>10</x:v>
      </x:c>
      <x:c r="D10" s="65" t="n">
        <x:f>COUNTIFS('Backlog'!$B$5:$B$200,A10,'Backlog'!$E$5:$E$200,"Must")</x:f>
        <x:v>5</x:v>
      </x:c>
      <x:c r="E10" s="65" t="n">
        <x:f>COUNTIFS('Backlog'!$B$5:$B$200,A10,'Backlog'!$F$5:$F$200,"Done")</x:f>
        <x:v>0</x:v>
      </x:c>
      <x:c r="F10" s="24" t="str">
        <x:v>Uitbreibare registry, SID en OPL-kerne</x:v>
      </x:c>
    </x:row>
    <x:row r="11" ht="32" customHeight="1">
      <x:c r="A11" s="24" t="str">
        <x:v>MCP-EPIC-007</x:v>
      </x:c>
      <x:c r="B11" s="24" t="str">
        <x:v>DSP And Pedal Hardware</x:v>
      </x:c>
      <x:c r="C11" s="65" t="n">
        <x:v>8</x:v>
      </x:c>
      <x:c r="D11" s="65" t="n">
        <x:v>4</x:v>
      </x:c>
      <x:c r="E11" s="65" t="n">
        <x:f>COUNTIFS('Backlog'!$B$5:$B$200,A11,'Backlog'!$F$5:$F$200,"Done")</x:f>
        <x:v>0</x:v>
      </x:c>
      <x:c r="F11" s="24" t="str">
        <x:v>Safe audio load and volume gate first; pedal power, protection, enclosure and KiCad hardware follow after MVP</x:v>
      </x:c>
    </x:row>
    <x:row r="12" ht="32" customHeight="1">
      <x:c r="A12" s="25" t="str">
        <x:v>MCP-EPIC-008</x:v>
      </x:c>
      <x:c r="B12" s="25" t="str">
        <x:v>Portability, Quality And Release</x:v>
      </x:c>
      <x:c r="C12" s="66" t="n">
        <x:f>COUNTIF('Backlog'!$B$5:$B$200,A12)</x:f>
        <x:v>11</x:v>
      </x:c>
      <x:c r="D12" s="66" t="n">
        <x:f>COUNTIFS('Backlog'!$B$5:$B$200,A12,'Backlog'!$E$5:$E$200,"Must")</x:f>
        <x:v>10</x:v>
      </x:c>
      <x:c r="E12" s="66" t="n">
        <x:f>COUNTIFS('Backlog'!$B$5:$B$200,A12,'Backlog'!$F$5:$F$200,"Done")</x:f>
        <x:v>0</x:v>
      </x:c>
      <x:c r="F12" s="25" t="str">
        <x:v>MVP host/HIL and audible Logic acceptance; cross-platform polish post-MVP</x:v>
      </x:c>
    </x:row>
    <x:row r="13" ht="44" customHeight="1">
      <x:c r="A13" s="128" t="str">
        <x:v>MCP-EPIC-009</x:v>
      </x:c>
      <x:c r="B13" s="128" t="str">
        <x:v>Framework Engineering</x:v>
      </x:c>
      <x:c r="C13" s="128" t="n">
        <x:f>COUNTIF('Backlog'!$B$5:$B$200,A13)</x:f>
        <x:v>4</x:v>
      </x:c>
      <x:c r="D13" s="128" t="n">
        <x:f>COUNTIFS('Backlog'!$B$5:$B$200,A13,'Backlog'!$E$5:$E$200,"Must")</x:f>
        <x:v>3</x:v>
      </x:c>
      <x:c r="E13" s="128" t="n">
        <x:f>COUNTIFS('Backlog'!$B$5:$B$200,A13,'Backlog'!$F$5:$F$200,"Done")</x:f>
        <x:v>4</x:v>
      </x:c>
      <x:c r="F13" s="128" t="str">
        <x:v>Vision, architecture, meta model, quality and controlled agent context</x:v>
      </x:c>
    </x:row>
    <x:row r="14" ht="48" customHeight="1">
      <x:c r="A14" s="138" t="str">
        <x:v>MCP-EPIC-010</x:v>
      </x:c>
      <x:c r="B14" s="138" t="str">
        <x:v>Physical Chip And Display Expansion</x:v>
      </x:c>
      <x:c r="C14" s="138" t="n">
        <x:f>COUNTIF('Backlog'!$B$5:$B$200,A14)</x:f>
        <x:v>6</x:v>
      </x:c>
      <x:c r="D14" s="138" t="n">
        <x:f>COUNTIFS('Backlog'!$B$5:$B$200,A14,'Backlog'!$E$5:$E$200,"Must")</x:f>
        <x:v>0</x:v>
      </x:c>
      <x:c r="E14" s="138" t="n">
        <x:f>COUNTIFS('Backlog'!$B$5:$B$200,A14,'Backlog'!$F$5:$F$200,"Done")</x:f>
        <x:v>0</x:v>
      </x:c>
      <x:c r="F14" s="138" t="str">
        <x:v>Post-MVP displays and physical SN76489/SID/OPL2 backends with emulation fallback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2a2e23646e441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14" hidden="0" customWidth="1"/>
    <x:col min="5" max="5" width="18" hidden="0" customWidth="1"/>
    <x:col min="6" max="6" width="62" hidden="0" customWidth="1"/>
    <x:col min="7" max="7" width="20" hidden="0" customWidth="1"/>
  </x:cols>
  <x:sheetData>
    <x:row r="1" ht="32" customHeight="1">
      <x:c r="A1" s="3" t="str">
        <x:v>MVP-risiko-register</x:v>
      </x:c>
    </x:row>
    <x:row r="2" ht="28" customHeight="1">
      <x:c r="A2" s="7" t="str">
        <x:v>34 geregistreerde risiko's; I2S-profieldrift en langdurige heap/resource-lekke word eksplisiet beheer</x:v>
      </x:c>
    </x:row>
    <x:row r="4" ht="28" customHeight="1">
      <x:c r="A4" s="14" t="str">
        <x:v>ID</x:v>
      </x:c>
      <x:c r="B4" s="40" t="str">
        <x:v>Risiko</x:v>
      </x:c>
      <x:c r="C4" s="40" t="str">
        <x:v>Likelihood</x:v>
      </x:c>
      <x:c r="D4" s="40" t="str">
        <x:v>Impact</x:v>
      </x:c>
      <x:c r="E4" s="40" t="str">
        <x:v>Owner</x:v>
      </x:c>
      <x:c r="F4" s="40" t="str">
        <x:v>Mitigation</x:v>
      </x:c>
      <x:c r="G4" s="15" t="str">
        <x:v>Status</x:v>
      </x:c>
    </x:row>
    <x:row r="5" ht="38" customHeight="1">
      <x:c r="A5" s="23" t="str">
        <x:v>R-001</x:v>
      </x:c>
      <x:c r="B5" s="23" t="str">
        <x:v>Wi-Fi-geheim was in prototipebron</x:v>
      </x:c>
      <x:c r="C5" s="23" t="str">
        <x:v>High</x:v>
      </x:c>
      <x:c r="D5" s="23" t="str">
        <x:v>Critical</x:v>
      </x:c>
      <x:c r="E5" s="23" t="str">
        <x:v>Security/PO</x:v>
      </x:c>
      <x:c r="F5" s="23" t="str">
        <x:v>Roteer wagwoord; private settings.toml; secret scan</x:v>
      </x:c>
      <x:c r="G5" s="23" t="str">
        <x:v>Open - human action</x:v>
      </x:c>
    </x:row>
    <x:row r="6" ht="38" customHeight="1">
      <x:c r="A6" s="24" t="str">
        <x:v>R-002</x:v>
      </x:c>
      <x:c r="B6" s="24" t="str">
        <x:v>ESP32-S2 USB-endpoints kan safe mode veroorsaak</x:v>
      </x:c>
      <x:c r="C6" s="24" t="str">
        <x:v>Medium</x:v>
      </x:c>
      <x:c r="D6" s="24" t="str">
        <x:v>High</x:v>
      </x:c>
      <x:c r="E6" s="24" t="str">
        <x:v>Embedded</x:v>
      </x:c>
      <x:c r="F6" s="24" t="str">
        <x:v>Minimale boot en herstelrunbook</x:v>
      </x:c>
      <x:c r="G6" s="24" t="str">
        <x:v>Open</x:v>
      </x:c>
    </x:row>
    <x:row r="7" ht="38" customHeight="1">
      <x:c r="A7" s="24" t="str">
        <x:v>R-003</x:v>
      </x:c>
      <x:c r="B7" s="24" t="str">
        <x:v>Onbehoorlike VID/PID kan konflik veroorsaak</x:v>
      </x:c>
      <x:c r="C7" s="24" t="str">
        <x:v>Medium</x:v>
      </x:c>
      <x:c r="D7" s="24" t="str">
        <x:v>High</x:v>
      </x:c>
      <x:c r="E7" s="24" t="str">
        <x:v>Release</x:v>
      </x:c>
      <x:c r="F7" s="24" t="str">
        <x:v>Veilige ontwikkelverstek; produk-ID besluit voor release</x:v>
      </x:c>
      <x:c r="G7" s="24" t="str">
        <x:v>Open</x:v>
      </x:c>
    </x:row>
    <x:row r="8" ht="38" customHeight="1">
      <x:c r="A8" s="24" t="str">
        <x:v>R-004</x:v>
      </x:c>
      <x:c r="B8" s="24" t="str">
        <x:v>Busy-wait PWM blokkeer MIDI/web/REPL</x:v>
      </x:c>
      <x:c r="C8" s="24" t="str">
        <x:v>High</x:v>
      </x:c>
      <x:c r="D8" s="24" t="str">
        <x:v>High</x:v>
      </x:c>
      <x:c r="E8" s="24" t="str">
        <x:v>DSP/Embedded</x:v>
      </x:c>
      <x:c r="F8" s="24" t="str">
        <x:v>Scheduler, jittermeting en I2S-spike</x:v>
      </x:c>
      <x:c r="G8" s="24" t="str">
        <x:v>Open</x:v>
      </x:c>
    </x:row>
    <x:row r="9" ht="38" customHeight="1">
      <x:c r="A9" s="24" t="str">
        <x:v>R-005</x:v>
      </x:c>
      <x:c r="B9" s="24" t="str">
        <x:v>I2S verskil per bordbou en penprofiel</x:v>
      </x:c>
      <x:c r="C9" s="24" t="str">
        <x:v>Medium</x:v>
      </x:c>
      <x:c r="D9" s="24" t="str">
        <x:v>High</x:v>
      </x:c>
      <x:c r="E9" s="24" t="str">
        <x:v>Embedded</x:v>
      </x:c>
      <x:c r="F9" s="24" t="str">
        <x:v>US-004 bevestig IO5/IO3/IO7 en audiobusio; MAX98357 klank-HIL volg in US-016</x:v>
      </x:c>
      <x:c r="G9" s="24" t="str">
        <x:v>Controlled</x:v>
      </x:c>
    </x:row>
    <x:row r="10" ht="38" customHeight="1">
      <x:c r="A10" s="24" t="str">
        <x:v>R-006</x:v>
      </x:c>
      <x:c r="B10" s="24" t="str">
        <x:v>Webserver gebruik te veel RAM of sokke</x:v>
      </x:c>
      <x:c r="C10" s="24" t="str">
        <x:v>High</x:v>
      </x:c>
      <x:c r="D10" s="24" t="str">
        <x:v>High</x:v>
      </x:c>
      <x:c r="E10" s="24" t="str">
        <x:v>Web/QA</x:v>
      </x:c>
      <x:c r="F10" s="24" t="str">
        <x:v>Een kliënt, klein bates, heapmeting</x:v>
      </x:c>
      <x:c r="G10" s="24" t="str">
        <x:v>Open</x:v>
      </x:c>
    </x:row>
    <x:row r="11" ht="38" customHeight="1">
      <x:c r="A11" s="24" t="str">
        <x:v>R-007</x:v>
      </x:c>
      <x:c r="B11" s="24" t="str">
        <x:v>Universele bordondersteuning word oorgeclaim</x:v>
      </x:c>
      <x:c r="C11" s="24" t="str">
        <x:v>High</x:v>
      </x:c>
      <x:c r="D11" s="24" t="str">
        <x:v>High</x:v>
      </x:c>
      <x:c r="E11" s="24" t="str">
        <x:v>Architect</x:v>
      </x:c>
      <x:c r="F11" s="24" t="str">
        <x:v>Profiele en tweede-bord-bewys</x:v>
      </x:c>
      <x:c r="G11" s="24" t="str">
        <x:v>Controlled</x:v>
      </x:c>
    </x:row>
    <x:row r="12" ht="38" customHeight="1">
      <x:c r="A12" s="24" t="str">
        <x:v>R-008</x:v>
      </x:c>
      <x:c r="B12" s="24" t="str">
        <x:v>Pi Linux en CircuitPython firmware word vermeng</x:v>
      </x:c>
      <x:c r="C12" s="24" t="str">
        <x:v>Medium</x:v>
      </x:c>
      <x:c r="D12" s="24" t="str">
        <x:v>Medium</x:v>
      </x:c>
      <x:c r="E12" s="24" t="str">
        <x:v>Architect</x:v>
      </x:c>
      <x:c r="F12" s="24" t="str">
        <x:v>Afsonderlike Blinka adapter</x:v>
      </x:c>
      <x:c r="G12" s="24" t="str">
        <x:v>Controlled</x:v>
      </x:c>
    </x:row>
    <x:row r="13" ht="38" customHeight="1">
      <x:c r="A13" s="24" t="str">
        <x:v>R-009</x:v>
      </x:c>
      <x:c r="B13" s="24" t="str">
        <x:v>Multi-core exceeds CPU/RAM and affects audio</x:v>
      </x:c>
      <x:c r="C13" s="24" t="str">
        <x:v>High</x:v>
      </x:c>
      <x:c r="D13" s="24" t="str">
        <x:v>High</x:v>
      </x:c>
      <x:c r="E13" s="24" t="str">
        <x:v>DSP/Architect</x:v>
      </x:c>
      <x:c r="F13" s="24" t="str">
        <x:v>Close single-core D1 MVP first; measure each post-MVP multi-core expansion and reject unsafe capacity deterministically</x:v>
      </x:c>
      <x:c r="G13" s="24" t="str">
        <x:v>Post-MVP - risk accepted</x:v>
      </x:c>
    </x:row>
    <x:row r="14" ht="38" customHeight="1">
      <x:c r="A14" s="24" t="str">
        <x:v>R-010</x:v>
      </x:c>
      <x:c r="B14" s="24" t="str">
        <x:v>SID/OPL lisensie of akkuraatheidsaansprake</x:v>
      </x:c>
      <x:c r="C14" s="24" t="str">
        <x:v>Medium</x:v>
      </x:c>
      <x:c r="D14" s="24" t="str">
        <x:v>High</x:v>
      </x:c>
      <x:c r="E14" s="24" t="str">
        <x:v>Release/PO</x:v>
      </x:c>
      <x:c r="F14" s="24" t="str">
        <x:v>Lisensieregister en eerlike accuracy level</x:v>
      </x:c>
      <x:c r="G14" s="24" t="str">
        <x:v>Open</x:v>
      </x:c>
    </x:row>
    <x:row r="15" ht="38" customHeight="1">
      <x:c r="A15" s="24" t="str">
        <x:v>R-011</x:v>
      </x:c>
      <x:c r="B15" s="24" t="str">
        <x:v>24 PPQN clock oorlaai MIDI-lus</x:v>
      </x:c>
      <x:c r="C15" s="24" t="str">
        <x:v>Medium</x:v>
      </x:c>
      <x:c r="D15" s="24" t="str">
        <x:v>High</x:v>
      </x:c>
      <x:c r="E15" s="24" t="str">
        <x:v>MIDI</x:v>
      </x:c>
      <x:c r="F15" s="24" t="str">
        <x:v>Prioriteitsry en jittertoetse</x:v>
      </x:c>
      <x:c r="G15" s="24" t="str">
        <x:v>Open</x:v>
      </x:c>
    </x:row>
    <x:row r="16" ht="38" customHeight="1">
      <x:c r="A16" s="24" t="str">
        <x:v>R-012</x:v>
      </x:c>
      <x:c r="B16" s="24" t="str">
        <x:v>Dedupe verwyder geldige note/clock</x:v>
      </x:c>
      <x:c r="C16" s="24" t="str">
        <x:v>Medium</x:v>
      </x:c>
      <x:c r="D16" s="24" t="str">
        <x:v>High</x:v>
      </x:c>
      <x:c r="E16" s="24" t="str">
        <x:v>MIDI/QA</x:v>
      </x:c>
      <x:c r="F16" s="24" t="str">
        <x:v>Boodskapspesifieke dedupe</x:v>
      </x:c>
      <x:c r="G16" s="24" t="str">
        <x:v>Open</x:v>
      </x:c>
    </x:row>
    <x:row r="17" ht="38" customHeight="1">
      <x:c r="A17" s="24" t="str">
        <x:v>R-013</x:v>
      </x:c>
      <x:c r="B17" s="24" t="str">
        <x:v>MAX98357 bridge-tied output is grounded, used as line-out, or drives a full-volume headphone close to the user</x:v>
      </x:c>
      <x:c r="C17" s="24" t="str">
        <x:v>High</x:v>
      </x:c>
      <x:c r="D17" s="24" t="str">
        <x:v>Critical</x:v>
      </x:c>
      <x:c r="E17" s="24" t="str">
        <x:v>Hardware/PO</x:v>
      </x:c>
      <x:c r="F17" s="24" t="str">
        <x:v>v0.16.0 software gain and startup mute are green; disconnect direct TRS load; use 4-8 ohm speaker; never ground, feed line input or place a potentiometer across BTL output</x:v>
      </x:c>
      <x:c r="G17" s="24" t="str">
        <x:v>In Review - speaker HIL open</x:v>
      </x:c>
    </x:row>
    <x:row r="18" ht="38" customHeight="1">
      <x:c r="A18" s="24" t="str">
        <x:v>R-014</x:v>
      </x:c>
      <x:c r="B18" s="24" t="str">
        <x:v>DSP oorskry geheue/latensie</x:v>
      </x:c>
      <x:c r="C18" s="24" t="str">
        <x:v>High</x:v>
      </x:c>
      <x:c r="D18" s="24" t="str">
        <x:v>High</x:v>
      </x:c>
      <x:c r="E18" s="24" t="str">
        <x:v>DSP</x:v>
      </x:c>
      <x:c r="F18" s="24" t="str">
        <x:v>Harde begroting en bypass</x:v>
      </x:c>
      <x:c r="G18" s="24" t="str">
        <x:v>Open</x:v>
      </x:c>
    </x:row>
    <x:row r="19" ht="38" customHeight="1">
      <x:c r="A19" s="24" t="str">
        <x:v>R-015</x:v>
      </x:c>
      <x:c r="B19" s="24" t="str">
        <x:v>Deploy beskadig bestaande prototipe</x:v>
      </x:c>
      <x:c r="C19" s="24" t="str">
        <x:v>Low</x:v>
      </x:c>
      <x:c r="D19" s="24" t="str">
        <x:v>Critical</x:v>
      </x:c>
      <x:c r="E19" s="24" t="str">
        <x:v>QA/Release</x:v>
      </x:c>
      <x:c r="F19" s="24" t="str">
        <x:v>Backup; dependency-closed 16-lêer manifest; nie-destruktiewe deploy; hash- en import-proof</x:v>
      </x:c>
      <x:c r="G19" s="24" t="str">
        <x:v>Controlled</x:v>
      </x:c>
    </x:row>
    <x:row r="20" ht="38" customHeight="1">
      <x:c r="A20" s="24" t="str">
        <x:v>R-016</x:v>
      </x:c>
      <x:c r="B20" s="24" t="str">
        <x:v>Side quests breek storyvolgorde</x:v>
      </x:c>
      <x:c r="C20" s="24" t="str">
        <x:v>High</x:v>
      </x:c>
      <x:c r="D20" s="24" t="str">
        <x:v>Medium</x:v>
      </x:c>
      <x:c r="E20" s="24" t="str">
        <x:v>Scrum</x:v>
      </x:c>
      <x:c r="F20" s="24" t="str">
        <x:v>Now/Next/Later/Parking Lot</x:v>
      </x:c>
      <x:c r="G20" s="24" t="str">
        <x:v>Controlled</x:v>
      </x:c>
    </x:row>
    <x:row r="21" ht="38" customHeight="1">
      <x:c r="A21" s="24" t="str">
        <x:v>R-017</x:v>
      </x:c>
      <x:c r="B21" s="24" t="str">
        <x:v>Plaaslike LLM lewer onbetroubare kode</x:v>
      </x:c>
      <x:c r="C21" s="24" t="str">
        <x:v>Medium</x:v>
      </x:c>
      <x:c r="D21" s="24" t="str">
        <x:v>Medium</x:v>
      </x:c>
      <x:c r="E21" s="24" t="str">
        <x:v>QA</x:v>
      </x:c>
      <x:c r="F21" s="24" t="str">
        <x:v>Klein take na overleg; Codex review</x:v>
      </x:c>
      <x:c r="G21" s="24" t="str">
        <x:v>Open</x:v>
      </x:c>
    </x:row>
    <x:row r="22" ht="38" customHeight="1">
      <x:c r="A22" s="25" t="str">
        <x:v>R-018</x:v>
      </x:c>
      <x:c r="B22" s="25" t="str">
        <x:v>Private rugsteun word gepubliseer</x:v>
      </x:c>
      <x:c r="C22" s="25" t="str">
        <x:v>Low</x:v>
      </x:c>
      <x:c r="D22" s="25" t="str">
        <x:v>Critical</x:v>
      </x:c>
      <x:c r="E22" s="25" t="str">
        <x:v>Release</x:v>
      </x:c>
      <x:c r="F22" s="25" t="str">
        <x:v>Buite repo, beperkte regte, pre-commit check</x:v>
      </x:c>
      <x:c r="G22" s="25" t="str">
        <x:v>Controlled</x:v>
      </x:c>
    </x:row>
    <x:row r="23" ht="40" customHeight="1">
      <x:c r="A23" s="82" t="str">
        <x:v>R-019</x:v>
      </x:c>
      <x:c r="B23" s="82" t="str">
        <x:v>MIDI-kitaar bend range/kanaalmodus maak slides vals</x:v>
      </x:c>
      <x:c r="C23" s="82" t="str">
        <x:v>High</x:v>
      </x:c>
      <x:c r="D23" s="82" t="str">
        <x:v>High</x:v>
      </x:c>
      <x:c r="E23" s="82" t="str">
        <x:v>MIDI/QA</x:v>
      </x:c>
      <x:c r="F23" s="82" t="str">
        <x:v>Configurable bend range, per-channel state en guitar HIL</x:v>
      </x:c>
      <x:c r="G23" s="82" t="str">
        <x:v>Open</x:v>
      </x:c>
    </x:row>
    <x:row r="24" ht="40" customHeight="1">
      <x:c r="A24" t="str">
        <x:v>R-020</x:v>
      </x:c>
      <x:c r="B24" t="str">
        <x:v>USB-host en USB-device rolle word verwar</x:v>
      </x:c>
      <x:c r="C24" t="str">
        <x:v>High</x:v>
      </x:c>
      <x:c r="D24" t="str">
        <x:v>High</x:v>
      </x:c>
      <x:c r="E24" t="str">
        <x:v>Architect/MIDI</x:v>
      </x:c>
      <x:c r="F24" t="str">
        <x:v>Dokumenteer controller-host-device-DIN-ketting en toets sonder DAW</x:v>
      </x:c>
      <x:c r="G24" t="str">
        <x:v>Open</x:v>
      </x:c>
    </x:row>
    <x:row r="25" ht="40" customHeight="1">
      <x:c r="A25" t="str">
        <x:v>R-021</x:v>
      </x:c>
      <x:c r="B25" t="str">
        <x:v>Device-proof publiseer UID, MAC, SSID of geheime</x:v>
      </x:c>
      <x:c r="C25" t="str">
        <x:v>Medium</x:v>
      </x:c>
      <x:c r="D25" t="str">
        <x:v>Critical</x:v>
      </x:c>
      <x:c r="E25" t="str">
        <x:v>QA/Release</x:v>
      </x:c>
      <x:c r="F25" t="str">
        <x:v>Drievlak-bewys word geredigeer; private rugsteun buite Git</x:v>
      </x:c>
      <x:c r="G25" t="str">
        <x:v>Controlled</x:v>
      </x:c>
    </x:row>
    <x:row r="26" ht="48" customHeight="1">
      <x:c r="A26" s="83" t="str">
        <x:v>R-022</x:v>
      </x:c>
      <x:c r="B26" s="83" t="str">
        <x:v>Eksterne USB-host ondersteun nie die betrokke controller of bend/clock-boodskap nie</x:v>
      </x:c>
      <x:c r="C26" s="83" t="str">
        <x:v>Medium</x:v>
      </x:c>
      <x:c r="D26" s="83" t="str">
        <x:v>High</x:v>
      </x:c>
      <x:c r="E26" s="83" t="str">
        <x:v>MIDI/QA</x:v>
      </x:c>
      <x:c r="F26" s="83" t="str">
        <x:v>Compatibility matrix; generiese plus Fishman HIL; geen handelsnaamwaarborg sonder toets nie</x:v>
      </x:c>
      <x:c r="G26" s="83" t="str">
        <x:v>Open</x:v>
      </x:c>
    </x:row>
    <x:row r="27" ht="48" customHeight="1">
      <x:c r="A27" s="83" t="str">
        <x:v>R-023</x:v>
      </x:c>
      <x:c r="B27" s="83" t="str">
        <x:v>Primary ESP32-S2 has no native BLE support</x:v>
      </x:c>
      <x:c r="C27" s="83" t="str">
        <x:v>High</x:v>
      </x:c>
      <x:c r="D27" s="83" t="str">
        <x:v>Medium</x:v>
      </x:c>
      <x:c r="E27" s="83" t="str">
        <x:v>Architect/Embedded</x:v>
      </x:c>
      <x:c r="F27" s="83" t="str">
        <x:v>BLE is post-MVP; capability gate keeps USB stable; later select a BLE-capable board in US-052/062</x:v>
      </x:c>
      <x:c r="G27" s="83" t="str">
        <x:v>Controlled</x:v>
      </x:c>
    </x:row>
    <x:row r="28" ht="48" customHeight="1">
      <x:c r="A28" s="83" t="str">
        <x:v>R-024</x:v>
      </x:c>
      <x:c r="B28" s="83" t="str">
        <x:v>Herhaalde macOS host-MIDI-scan abort in python-rtmidi/CoreMIDI</x:v>
      </x:c>
      <x:c r="C28" s="83" t="str">
        <x:v>High</x:v>
      </x:c>
      <x:c r="D28" s="83" t="str">
        <x:v>Medium</x:v>
      </x:c>
      <x:c r="E28" s="83" t="str">
        <x:v>QA/Tooling</x:v>
      </x:c>
      <x:c r="F28" s="83" t="str">
        <x:v>Geen herhaalde in-proses scan; toekomstige host-scan in subprocess; device logs vir firmware-HIL</x:v>
      </x:c>
      <x:c r="G28" s="83" t="str">
        <x:v>Open - host impediment</x:v>
      </x:c>
    </x:row>
    <x:row r="29" ht="48" customHeight="1">
      <x:c r="A29" s="83" t="str">
        <x:v>R-025</x:v>
      </x:c>
      <x:c r="B29" s="83" t="str">
        <x:v>MIDI-HIL hang of faal deur poortkonflik met Thonny of serial monitor</x:v>
      </x:c>
      <x:c r="C29" s="83" t="str">
        <x:v>Medium</x:v>
      </x:c>
      <x:c r="D29" s="83" t="str">
        <x:v>High</x:v>
      </x:c>
      <x:c r="E29" s="83" t="str">
        <x:v>QA/HIL</x:v>
      </x:c>
      <x:c r="F29" s="83" t="str">
        <x:v>Preflight poorte; een REPL-klient; timeout, cleanup en herstelpad</x:v>
      </x:c>
      <x:c r="G29" s="83" t="str">
        <x:v>Open</x:v>
      </x:c>
    </x:row>
    <x:row r="30" ht="52" customHeight="1">
      <x:c r="A30" s="83" t="str">
        <x:v>R-026</x:v>
      </x:c>
      <x:c r="B30" s="83" t="str">
        <x:v>Fallback access point is oop, voorspelbaar of lek credentials/klientidentiteit</x:v>
      </x:c>
      <x:c r="C30" s="83" t="str">
        <x:v>Medium</x:v>
      </x:c>
      <x:c r="D30" s="83" t="str">
        <x:v>Critical</x:v>
      </x:c>
      <x:c r="E30" s="83" t="str">
        <x:v>Security/Web</x:v>
      </x:c>
      <x:c r="F30" s="83" t="str">
        <x:v>Beveiligde AP; private provisioning; geen geheime, MAC's of unieke ID's in logs/repo</x:v>
      </x:c>
      <x:c r="G30" s="83" t="str">
        <x:v>Open</x:v>
      </x:c>
    </x:row>
    <x:row r="31" ht="52" customHeight="1">
      <x:c r="A31" s="83" t="str">
        <x:v>R-027</x:v>
      </x:c>
      <x:c r="B31" s="83" t="str">
        <x:v>Onbegrensde join/reconnect, HTTP polling of debuglogging veroorsaak dropout, RAM-druk of flashslytasie</x:v>
      </x:c>
      <x:c r="C31" s="83" t="str">
        <x:v>High</x:v>
      </x:c>
      <x:c r="D31" s="83" t="str">
        <x:v>High</x:v>
      </x:c>
      <x:c r="E31" s="83" t="str">
        <x:v>Embedded/Web/QA</x:v>
      </x:c>
      <x:c r="F31" s="83" t="str">
        <x:v>Timeout/backoff; cooperative poll; een klient; debug af; koersbegrensde serial logging; geen normale flashlog</x:v>
      </x:c>
      <x:c r="G31" s="83" t="str">
        <x:v>Open</x:v>
      </x:c>
    </x:row>
    <x:row r="32" ht="44" customHeight="1">
      <x:c r="A32" s="83" t="str">
        <x:v>R-028</x:v>
      </x:c>
      <x:c r="B32" s="83" t="str">
        <x:v>Programmatiese harde reset laat USB soms sonder CIRCUITPY/CDC-herenumerasie</x:v>
      </x:c>
      <x:c r="C32" s="83" t="str">
        <x:v>Medium</x:v>
      </x:c>
      <x:c r="D32" s="83" t="str">
        <x:v>High</x:v>
      </x:c>
      <x:c r="E32" s="83" t="str">
        <x:v>Embedded/QA</x:v>
      </x:c>
      <x:c r="F32" s="83" t="str">
        <x:v>Fisiese power-cycle herstel volume/REPL; recovery-runbook en finale manifest-HIL is bewys</x:v>
      </x:c>
      <x:c r="G32" s="83" t="str">
        <x:v>Controlled</x:v>
      </x:c>
    </x:row>
    <x:row r="33">
      <x:c r="A33" t="str">
        <x:v>R-029</x:v>
      </x:c>
      <x:c r="B33" t="str">
        <x:v>CIRCUITPY-media is geldig maar leesalleen vir die host</x:v>
      </x:c>
      <x:c r="C33" t="str">
        <x:v>Medium</x:v>
      </x:c>
      <x:c r="D33" t="str">
        <x:v>High</x:v>
      </x:c>
      <x:c r="E33" t="str">
        <x:v>Embedded/Release</x:v>
      </x:c>
      <x:c r="F33" t="str">
        <x:v>Stop deploy; FAT verify; fisiese power-cycle en skryfbaarheidstoets; geen erase/remount-omseiling</x:v>
      </x:c>
      <x:c r="G33" t="str">
        <x:v>Controlled - writable HIL 2026-07-15</x:v>
      </x:c>
    </x:row>
    <x:row r="34" ht="44" customHeight="1">
      <x:c r="A34" s="126" t="str">
        <x:v>R-030</x:v>
      </x:c>
      <x:c r="B34" s="126" t="str">
        <x:v>USB product names collide or change between boots</x:v>
      </x:c>
      <x:c r="C34" s="126" t="str">
        <x:v>Medium</x:v>
      </x:c>
      <x:c r="D34" s="126" t="str">
        <x:v>High</x:v>
      </x:c>
      <x:c r="E34" s="126" t="str">
        <x:v>Embedded/Release</x:v>
      </x:c>
      <x:c r="F34" s="126" t="str">
        <x:v>Stable non-secret four-character instance ID, collision rule and two-device DAW acceptance in US-068</x:v>
      </x:c>
      <x:c r="G34" s="126" t="str">
        <x:v>Post-MVP - US-068</x:v>
      </x:c>
    </x:row>
    <x:row r="35" ht="48" customHeight="1">
      <x:c r="A35" s="139" t="str">
        <x:v>R-031</x:v>
      </x:c>
      <x:c r="B35" s="139" t="str">
        <x:v>Wrong power, levels, clock or bus sequence damages a rare physical retro chip</x:v>
      </x:c>
      <x:c r="C35" s="139" t="str">
        <x:v>Medium</x:v>
      </x:c>
      <x:c r="D35" s="139" t="str">
        <x:v>Critical</x:v>
      </x:c>
      <x:c r="E35" s="139" t="str">
        <x:v>DSP/Chip/Hardware</x:v>
      </x:c>
      <x:c r="F35" s="139" t="str">
        <x:v>Datasheet and measurement gate, current-limited supply, level shifting and no universal expander assumption</x:v>
      </x:c>
      <x:c r="G35" s="139" t="str">
        <x:v>Later - US-070 to US-073</x:v>
      </x:c>
    </x:row>
    <x:row r="36" ht="48" customHeight="1">
      <x:c r="A36" s="138" t="str">
        <x:v>R-032</x:v>
      </x:c>
      <x:c r="B36" s="138" t="str">
        <x:v>Physical backend is falsely detected, hangs runtime or plays alongside emulation</x:v>
      </x:c>
      <x:c r="C36" s="138" t="str">
        <x:v>Medium</x:v>
      </x:c>
      <x:c r="D36" s="138" t="str">
        <x:v>High</x:v>
      </x:c>
      <x:c r="E36" s="138" t="str">
        <x:v>Architect/Embedded/QA</x:v>
      </x:c>
      <x:c r="F36" s="138" t="str">
        <x:v>Capability probe, timeout, fault injection, safe switch boundary and emulation default/fallback</x:v>
      </x:c>
      <x:c r="G36" s="138" t="str">
        <x:v>Later - US-074</x:v>
      </x:c>
    </x:row>
    <x:row r="37" ht="48" customHeight="1">
      <x:c r="A37" s="143" t="str">
        <x:v>R-033</x:v>
      </x:c>
      <x:c r="B37" s="143" t="str">
        <x:v>Standalone I2S diagnostic drifts from the production AudioOutput profile</x:v>
      </x:c>
      <x:c r="C37" s="143" t="str">
        <x:v>Medium</x:v>
      </x:c>
      <x:c r="D37" s="143" t="str">
        <x:v>High</x:v>
      </x:c>
      <x:c r="E37" s="143" t="str">
        <x:v>Architect/QA/HIL</x:v>
      </x:c>
      <x:c r="F37" s="143" t="str">
        <x:v>Same profile field names, AST/import and frequency tests, paired MAX98357 HIL, no shared synth-runtime import</x:v>
      </x:c>
      <x:c r="G37" s="143" t="str">
        <x:v>Controlled in US-016</x:v>
      </x:c>
    </x:row>
    <x:row r="38" ht="48" customHeight="1">
      <x:c r="A38" s="144" t="str">
        <x:v>R-034</x:v>
      </x:c>
      <x:c r="B38" s="144" t="str">
        <x:v>Long-running heap/resource leak or rare reset is missed by short HIL</x:v>
      </x:c>
      <x:c r="C38" s="144" t="str">
        <x:v>Medium</x:v>
      </x:c>
      <x:c r="D38" s="144" t="str">
        <x:v>High</x:v>
      </x:c>
      <x:c r="E38" s="144" t="str">
        <x:v>QA/HIL/Embedded</x:v>
      </x:c>
      <x:c r="F38" s="144" t="str">
        <x:v>30m/8h/12h/24h burn-in profiles, 4096-byte/5% heap boundary, cleanup/reset/dropout telemetry</x:v>
      </x:c>
      <x:c r="G38" s="144" t="str">
        <x:v>Controlled in US-016/051/055/057</x:v>
      </x:c>
    </x:row>
  </x:sheetData>
  <x:mergeCells>
    <x:mergeCell ref="A1:G1"/>
    <x:mergeCell ref="A2:G2"/>
  </x:mergeCells>
  <x:conditionalFormatting sqref="D5:D22">
    <x:cfRule type="containsText" dxfId="4" priority="1" operator="containsText" text="Critical"/>
  </x:conditionalFormatting>
  <x:conditionalFormatting sqref="G5:G22">
    <x:cfRule type="containsText" dxfId="5" priority="2" operator="containsText" text="Closed"/>
  </x:conditionalFormatting>
  <x:dataValidations count="4">
    <x:dataValidation type="list" sqref="G5:G22">
      <x:formula1>"Open,Open - human action,Controlled,Closed"</x:formula1>
    </x:dataValidation>
    <x:dataValidation type="list" sqref="G23">
      <x:formula1>"Open,Controlled,Open - human action,Closed"</x:formula1>
    </x:dataValidation>
    <x:dataValidation type="list" sqref="G27:G29">
      <x:formula1>"Open,Controlled,Closed,Open - human action,Open - host impediment"</x:formula1>
    </x:dataValidation>
    <x:dataValidation type="list" sqref="G30:G31">
      <x:formula1>"Open,Controlled,Closed,Open - human action,Open - host impediment"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68ea3d32cb43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5" hidden="0" customWidth="1"/>
    <x:col min="3" max="3" width="52" hidden="0" customWidth="1"/>
  </x:cols>
  <x:sheetData>
    <x:row r="1" ht="32" customHeight="1">
      <x:c r="A1" s="3" t="str">
        <x:v>Virtuele span - verpligte inset</x:v>
      </x:c>
    </x:row>
    <x:row r="2" ht="28" customHeight="1">
      <x:c r="A2" s="7" t="str">
        <x:v>Elke interne rol gee 'n sigbare bydrae; CEA bewaak coherence; Copilot adviseer; PO bly finale aanvaarder</x:v>
      </x:c>
    </x:row>
    <x:row r="4" ht="28" customHeight="1">
      <x:c r="A4" s="14" t="str">
        <x:v>Rol</x:v>
      </x:c>
      <x:c r="B4" s="40" t="str">
        <x:v>Verantwoordelikheid</x:v>
      </x:c>
      <x:c r="C4" s="15" t="str">
        <x:v>Verpligte inset per story</x:v>
      </x:c>
    </x:row>
    <x:row r="5" ht="48" customHeight="1">
      <x:c r="A5" s="132" t="str">
        <x:v>Sales/Discovery</x:v>
      </x:c>
      <x:c r="B5" s="132" t="str">
        <x:v>Waarde, gebruiker, begroting</x:v>
      </x:c>
      <x:c r="C5" s="132" t="str">
        <x:v>Waardehipotese en demo-uitkoms</x:v>
      </x:c>
    </x:row>
    <x:row r="6" ht="48" customHeight="1">
      <x:c r="A6" s="133" t="str">
        <x:v>Business Analyst</x:v>
      </x:c>
      <x:c r="B6" s="133" t="str">
        <x:v>Vloei, omvang, aannames</x:v>
      </x:c>
      <x:c r="C6" s="133" t="str">
        <x:v>Story, kriteria en nie-doelwitte</x:v>
      </x:c>
    </x:row>
    <x:row r="7" ht="48" customHeight="1">
      <x:c r="A7" s="134" t="str">
        <x:v>Product Owner</x:v>
      </x:c>
      <x:c r="B7" s="134" t="str">
        <x:v>Prioriteit en aanvaarding</x:v>
      </x:c>
      <x:c r="C7" s="134" t="str">
        <x:v>Ready/accept/reject</x:v>
      </x:c>
    </x:row>
    <x:row r="8" ht="48" customHeight="1">
      <x:c r="A8" s="133" t="str">
        <x:v>Scrum Master</x:v>
      </x:c>
      <x:c r="B8" s="133" t="str">
        <x:v>Volgorde en impediments</x:v>
      </x:c>
      <x:c r="C8" s="133" t="str">
        <x:v>Now/Next/Later en blocker</x:v>
      </x:c>
    </x:row>
    <x:row r="9" ht="48" customHeight="1">
      <x:c r="A9" s="134" t="str">
        <x:v>Chief Enterprise Architect</x:v>
      </x:c>
      <x:c r="B9" s="134" t="str">
        <x:v>Visie, vermoens, meta model en cross-epic coherence</x:v>
      </x:c>
      <x:c r="C9" s="134" t="str">
        <x:v>Fitness teen visie en artefakgesag</x:v>
      </x:c>
    </x:row>
    <x:row r="10" ht="48" customHeight="1">
      <x:c r="A10" s="133" t="str">
        <x:v>Framework Engineer</x:v>
      </x:c>
      <x:c r="B10" s="133" t="str">
        <x:v>Konteks, taxonomy, review en kennisvloei</x:v>
      </x:c>
      <x:c r="C10" s="133" t="str">
        <x:v>Minimale storypakket en framework sanity</x:v>
      </x:c>
    </x:row>
    <x:row r="11" ht="48" customHeight="1">
      <x:c r="A11" s="134" t="str">
        <x:v>Solution Architect</x:v>
      </x:c>
      <x:c r="B11" s="134" t="str">
        <x:v>Poorte, ADR en portabiliteit</x:v>
      </x:c>
      <x:c r="C11" s="134" t="str">
        <x:v>Ontwerpresensie en trade-off</x:v>
      </x:c>
    </x:row>
    <x:row r="12" ht="48" customHeight="1">
      <x:c r="A12" s="133" t="str">
        <x:v>Embedded Engineer</x:v>
      </x:c>
      <x:c r="B12" s="133" t="str">
        <x:v>Boot, bord, penne, geheue</x:v>
      </x:c>
      <x:c r="C12" s="133" t="str">
        <x:v>Bordimpak en herstelpad</x:v>
      </x:c>
    </x:row>
    <x:row r="13" ht="48" customHeight="1">
      <x:c r="A13" s="134" t="str">
        <x:v>MIDI Engineer</x:v>
      </x:c>
      <x:c r="B13" s="134" t="str">
        <x:v>MIDI, kanale, clock, controls</x:v>
      </x:c>
      <x:c r="C13" s="134" t="str">
        <x:v>Kontrakte en randgevalle</x:v>
      </x:c>
    </x:row>
    <x:row r="14" ht="48" customHeight="1">
      <x:c r="A14" s="133" t="str">
        <x:v>DSP/Chip Engineer</x:v>
      </x:c>
      <x:c r="B14" s="133" t="str">
        <x:v>Kern, voices, audio, DSP</x:v>
      </x:c>
      <x:c r="C14" s="133" t="str">
        <x:v>CPU/RAM/latensie/akkuraatheid</x:v>
      </x:c>
    </x:row>
    <x:row r="15" ht="48" customHeight="1">
      <x:c r="A15" s="135" t="str">
        <x:v>Web Engineer</x:v>
      </x:c>
      <x:c r="B15" s="135" t="str">
        <x:v>Plaaslike UI en scheduling</x:v>
      </x:c>
      <x:c r="C15" s="135" t="str">
        <x:v>UI-vloei en bronimpak</x:v>
      </x:c>
    </x:row>
    <x:row r="16" ht="48" customHeight="1">
      <x:c r="A16" s="127" t="str">
        <x:v>QA/HIL Engineer</x:v>
      </x:c>
      <x:c r="B16" s="127" t="str">
        <x:v>Rooi/groen en instrumentmeting</x:v>
      </x:c>
      <x:c r="C16" s="127" t="str">
        <x:v>Toetsmatriks en bewys</x:v>
      </x:c>
    </x:row>
    <x:row r="17" ht="48" customHeight="1">
      <x:c r="A17" s="136" t="str">
        <x:v>Release/Documentation</x:v>
      </x:c>
      <x:c r="B17" s="136" t="str">
        <x:v>Git, installasie en traceability</x:v>
      </x:c>
      <x:c r="C17" s="136" t="str">
        <x:v>Publikasiehek en docs</x:v>
      </x:c>
    </x:row>
    <x:row r="18" ht="48" customHeight="1">
      <x:c r="A18" s="127" t="str">
        <x:v>External Architecture Reviewer (Copilot)</x:v>
      </x:c>
      <x:c r="B18" s="127" t="str">
        <x:v>Onafhanklike ontwerp- en risiko-review</x:v>
      </x:c>
      <x:c r="C18" s="127" t="str">
        <x:v>Bevindings is advies; PO/architect besluit en traceer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2cab79d4b4444c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24" hidden="0" customWidth="1"/>
    <x:col min="4" max="4" width="68" hidden="0" customWidth="1"/>
  </x:cols>
  <x:sheetData>
    <x:row r="1" ht="32" customHeight="1">
      <x:c r="A1" s="3" t="str">
        <x:v>Bronregister</x:v>
      </x:c>
    </x:row>
    <x:row r="2" ht="28" customHeight="1">
      <x:c r="A2" s="7" t="str">
        <x:v>Primere dokumentasie voor sekondere demonstrasies; transport- en hardeware-eise vereis eie meting</x:v>
      </x:c>
    </x:row>
    <x:row r="4" ht="28" customHeight="1">
      <x:c r="A4" s="14" t="str">
        <x:v>Bron</x:v>
      </x:c>
      <x:c r="B4" s="40" t="str">
        <x:v>Gebruik</x:v>
      </x:c>
      <x:c r="C4" s="40" t="str">
        <x:v>Klas</x:v>
      </x:c>
      <x:c r="D4" s="15" t="str">
        <x:v>URL / ligging</x:v>
      </x:c>
    </x:row>
    <x:row r="5" ht="36" customHeight="1">
      <x:c r="A5" s="23" t="str">
        <x:v>CircuitPython usb_midi</x:v>
      </x:c>
      <x:c r="B5" s="23" t="str">
        <x:v>USB endpoints, poorte en names</x:v>
      </x:c>
      <x:c r="C5" s="23" t="str">
        <x:v>Official API</x:v>
      </x:c>
      <x:c r="D5" s="23" t="str">
        <x:v>https://docs.circuitpython.org/en/latest/shared-bindings/usb_midi/</x:v>
      </x:c>
    </x:row>
    <x:row r="6" ht="36" customHeight="1">
      <x:c r="A6" s="24" t="str">
        <x:v>CircuitPython I2SOut</x:v>
      </x:c>
      <x:c r="B6" s="24" t="str">
        <x:v>Digitale audio backend spike</x:v>
      </x:c>
      <x:c r="C6" s="24" t="str">
        <x:v>Official API</x:v>
      </x:c>
      <x:c r="D6" s="24" t="str">
        <x:v>https://docs.circuitpython.org/en/stable/shared-bindings/audiobusio/</x:v>
      </x:c>
    </x:row>
    <x:row r="7" ht="36" customHeight="1">
      <x:c r="A7" s="24" t="str">
        <x:v>CircuitPython synthio</x:v>
      </x:c>
      <x:c r="B7" s="24" t="str">
        <x:v>Envelope, pan en bend spike</x:v>
      </x:c>
      <x:c r="C7" s="24" t="str">
        <x:v>Official experimental API</x:v>
      </x:c>
      <x:c r="D7" s="24" t="str">
        <x:v>https://docs.circuitpython.org/en/latest/shared-bindings/synthio/</x:v>
      </x:c>
    </x:row>
    <x:row r="8" ht="36" customHeight="1">
      <x:c r="A8" s="24" t="str">
        <x:v>Adafruit MIDI</x:v>
      </x:c>
      <x:c r="B8" s="24" t="str">
        <x:v>Note, CC, bend en clock</x:v>
      </x:c>
      <x:c r="C8" s="24" t="str">
        <x:v>Official library</x:v>
      </x:c>
      <x:c r="D8" s="24" t="str">
        <x:v>https://docs.circuitpython.org/projects/midi/en/latest/</x:v>
      </x:c>
    </x:row>
    <x:row r="9" ht="36" customHeight="1">
      <x:c r="A9" s="24" t="str">
        <x:v>Adafruit HTTP Server</x:v>
      </x:c>
      <x:c r="B9" s="24" t="str">
        <x:v>Plaaslike webbeheer</x:v>
      </x:c>
      <x:c r="C9" s="24" t="str">
        <x:v>Official library</x:v>
      </x:c>
      <x:c r="D9" s="24" t="str">
        <x:v>https://docs.circuitpython.org/projects/httpserver/en/stable/</x:v>
      </x:c>
    </x:row>
    <x:row r="10" ht="36" customHeight="1">
      <x:c r="A10" s="24" t="str">
        <x:v>CircuitPython network settings</x:v>
      </x:c>
      <x:c r="B10" s="24" t="str">
        <x:v>Private settings.toml</x:v>
      </x:c>
      <x:c r="C10" s="24" t="str">
        <x:v>Official guide</x:v>
      </x:c>
      <x:c r="D10" s="24" t="str">
        <x:v>https://learn.adafruit.com/networking-in-circuitpython/network-settings</x:v>
      </x:c>
    </x:row>
    <x:row r="11" ht="36" customHeight="1">
      <x:c r="A11" s="24" t="str">
        <x:v>python-d1-synth</x:v>
      </x:c>
      <x:c r="B11" s="24" t="str">
        <x:v>Getoetste gedragskontrakte</x:v>
      </x:c>
      <x:c r="C11" s="24" t="str">
        <x:v>Public predecessor</x:v>
      </x:c>
      <x:c r="D11" s="24" t="str">
        <x:v>https://github.com/pappavis/python-d1-synth</x:v>
      </x:c>
    </x:row>
    <x:row r="12" ht="36" customHeight="1">
      <x:c r="A12" s="24" t="str">
        <x:v>midi-chip-platform</x:v>
      </x:c>
      <x:c r="B12" s="24" t="str">
        <x:v>Argitektuur en domeinbronne</x:v>
      </x:c>
      <x:c r="C12" s="24" t="str">
        <x:v>Public predecessor</x:v>
      </x:c>
      <x:c r="D12" s="24" t="str">
        <x:v>https://github.com/pappavis/midi-chip-platform</x:v>
      </x:c>
    </x:row>
    <x:row r="13" ht="36" customHeight="1">
      <x:c r="A13" s="25" t="str">
        <x:v>CIRCUITPY prototype</x:v>
      </x:c>
      <x:c r="B13" s="25" t="str">
        <x:v>PWM/SN76489 hardware proof</x:v>
      </x:c>
      <x:c r="C13" s="25" t="str">
        <x:v>Private local source</x:v>
      </x:c>
      <x:c r="D13" s="25" t="str">
        <x:v>Private backup; never publish</x:v>
      </x:c>
    </x:row>
    <x:row r="14" ht="28" customHeight="1">
      <x:c r="A14" s="70" t="str">
        <x:v>Adafruit MAX98357 overview</x:v>
      </x:c>
      <x:c r="B14" s="70" t="str">
        <x:v>Mono-I2S, sample rates en mono mix</x:v>
      </x:c>
      <x:c r="C14" s="70" t="str">
        <x:v>Official guide</x:v>
      </x:c>
      <x:c r="D14" s="70" t="str">
        <x:v>https://learn.adafruit.com/adafruit-max98357-i2s-class-d-mono-amp/overview</x:v>
      </x:c>
    </x:row>
    <x:row r="15" ht="28" customHeight="1">
      <x:c r="A15" s="74" t="str">
        <x:v>Adafruit MAX98357 pinouts</x:v>
      </x:c>
      <x:c r="B15" s="74" t="str">
        <x:v>BCLK/LRC/DIN en bridge-tied safety</x:v>
      </x:c>
      <x:c r="C15" s="74" t="str">
        <x:v>Official guide</x:v>
      </x:c>
      <x:c r="D15" s="74" t="str">
        <x:v>https://learn.adafruit.com/adafruit-max98357-i2s-class-d-mono-amp/pinouts</x:v>
      </x:c>
    </x:row>
    <x:row r="16" ht="28" customHeight="1">
      <x:c r="A16" s="70" t="str">
        <x:v>Fishman TriplePlay Support</x:v>
      </x:c>
      <x:c r="B16" s="70" t="str">
        <x:v>Polyphonic MIDI guitar en string bends</x:v>
      </x:c>
      <x:c r="C16" s="70" t="str">
        <x:v>Official support</x:v>
      </x:c>
      <x:c r="D16" s="70" t="str">
        <x:v>https://fishman.com/tripleplay-support/</x:v>
      </x:c>
    </x:row>
    <x:row r="17" ht="28" customHeight="1">
      <x:c r="A17" s="74" t="str">
        <x:v>Fishman TriplePlay Utility Guide</x:v>
      </x:c>
      <x:c r="B17" s="74" t="str">
        <x:v>Trigger/Auto/Smooth/Step slides</x:v>
      </x:c>
      <x:c r="C17" s="74" t="str">
        <x:v>Official manual</x:v>
      </x:c>
      <x:c r="D17" s="74" t="str">
        <x:v>https://a11.fishman.com/wp-content/uploads/2024/12/TriplePlayUtility-UserGuide.pdf</x:v>
      </x:c>
    </x:row>
    <x:row r="18" ht="28" customHeight="1">
      <x:c r="A18" t="str">
        <x:v>CircuitPython supervisor</x:v>
      </x:c>
      <x:c r="B18" t="str">
        <x:v>USB ID, runtime, autoreload en hard reset</x:v>
      </x:c>
      <x:c r="C18" t="str">
        <x:v>Official API</x:v>
      </x:c>
      <x:c r="D18" t="str">
        <x:v>https://docs.circuitpython.org/en/latest/shared-bindings/supervisor/</x:v>
      </x:c>
    </x:row>
    <x:row r="19" ht="28" customHeight="1">
      <x:c r="A19" t="str">
        <x:v>CircuitPython USB customization</x:v>
      </x:c>
      <x:c r="B19" t="str">
        <x:v>boot.py endpoint- en herstelgedrag</x:v>
      </x:c>
      <x:c r="C19" t="str">
        <x:v>Official guide</x:v>
      </x:c>
      <x:c r="D19" t="str">
        <x:v>https://learn.adafruit.com/customizing-usb-devices-in-circuitpython</x:v>
      </x:c>
    </x:row>
    <x:row r="20" ht="28" customHeight="1">
      <x:c r="A20" t="str">
        <x:v>DOREMiDi USB MIDI Host</x:v>
      </x:c>
      <x:c r="B20" t="str">
        <x:v>Standalone controller-host-DIN transport</x:v>
      </x:c>
      <x:c r="C20" t="str">
        <x:v>Vendor reference</x:v>
      </x:c>
      <x:c r="D20" t="str">
        <x:v>https://www.doremidi.cn/</x:v>
      </x:c>
    </x:row>
    <x:row r="21" ht="28" customHeight="1">
      <x:c r="A21" t="str">
        <x:v>RaspiMIDIHub</x:v>
      </x:c>
      <x:c r="B21" t="str">
        <x:v>Standalone Raspberry Pi MIDI-host patroon</x:v>
      </x:c>
      <x:c r="C21" t="str">
        <x:v>Public project</x:v>
      </x:c>
      <x:c r="D21" t="str">
        <x:v>https://github.com/rppicomidi/RasPiMIDIHub</x:v>
      </x:c>
    </x:row>
    <x:row r="22" ht="38" customHeight="1">
      <x:c r="A22" s="83" t="str">
        <x:v>CircuitPython _bleio</x:v>
      </x:c>
      <x:c r="B22" s="83" t="str">
        <x:v>Native BLE capability en eksplisiete ESP32-S2-uitsondering</x:v>
      </x:c>
      <x:c r="C22" s="83" t="str">
        <x:v>Official API</x:v>
      </x:c>
      <x:c r="D22" s="83" t="str">
        <x:v>https://docs.circuitpython.org/en/latest/shared-bindings/_bleio/</x:v>
      </x:c>
    </x:row>
    <x:row r="23" ht="38" customHeight="1">
      <x:c r="A23" s="83" t="str">
        <x:v>Adafruit BLE MIDI</x:v>
      </x:c>
      <x:c r="B23" s="83" t="str">
        <x:v>BLE MIDI service en dependencies</x:v>
      </x:c>
      <x:c r="C23" s="83" t="str">
        <x:v>Official library</x:v>
      </x:c>
      <x:c r="D23" s="83" t="str">
        <x:v>https://docs.circuitpython.org/projects/ble_midi/en/latest/</x:v>
      </x:c>
    </x:row>
    <x:row r="24" ht="38" customHeight="1">
      <x:c r="A24" s="83" t="str">
        <x:v>Adafruit BLE MIDI API</x:v>
      </x:c>
      <x:c r="B24" s="83" t="str">
        <x:v>MIDIService as PortIn/PortOut-agtige transport</x:v>
      </x:c>
      <x:c r="C24" s="83" t="str">
        <x:v>Official API</x:v>
      </x:c>
      <x:c r="D24" s="83" t="str">
        <x:v>https://docs.circuitpython.org/projects/ble_midi/en/stable/api.html</x:v>
      </x:c>
    </x:row>
    <x:row r="25" ht="38" customHeight="1">
      <x:c r="A25" s="83" t="str">
        <x:v>Espressif ESP32-S2 datasheet</x:v>
      </x:c>
      <x:c r="B25" s="83" t="str">
        <x:v>S2 Wi-Fi, USB, I2S en geheuevermoens</x:v>
      </x:c>
      <x:c r="C25" s="83" t="str">
        <x:v>Official datasheet</x:v>
      </x:c>
      <x:c r="D25" s="83" t="str">
        <x:v>https://documentation.espressif.com/esp32-s2_datasheet_en.html</x:v>
      </x:c>
    </x:row>
    <x:row r="26" ht="40" customHeight="1">
      <x:c r="A26" s="83" t="str">
        <x:v>CircuitPython wifi</x:v>
      </x:c>
      <x:c r="B26" s="83" t="str">
        <x:v>Station/AP, connect timeout, IP-adresse, AP-auth en DHCP</x:v>
      </x:c>
      <x:c r="C26" s="83" t="str">
        <x:v>Official API</x:v>
      </x:c>
      <x:c r="D26" s="83" t="str">
        <x:v>https://docs.circuitpython.org/en/stable/shared-bindings/wifi/</x:v>
      </x:c>
    </x:row>
    <x:row r="27" ht="40" customHeight="1">
      <x:c r="A27" s="83" t="str">
        <x:v>HTTP server starting methods</x:v>
      </x:c>
      <x:c r="B27" s="83" t="str">
        <x:v>Station- en AP-bedieneropstart</x:v>
      </x:c>
      <x:c r="C27" s="83" t="str">
        <x:v>Official library example</x:v>
      </x:c>
      <x:c r="D27" s="83" t="str">
        <x:v>https://docs.circuitpython.org/projects/httpserver/en/latest/starting_methods.html</x:v>
      </x:c>
    </x:row>
    <x:row r="28" ht="56" customHeight="1">
      <x:c r="A28" t="str">
        <x:v>WEMOS S2 Mini</x:v>
      </x:c>
      <x:c r="B28" t="str">
        <x:v>Verwysingsbord, 3.3 V-logika, 27 I/O, flash en PSRAM</x:v>
      </x:c>
      <x:c r="C28" s="83" t="str">
        <x:v>Official board documentation</x:v>
      </x:c>
      <x:c r="D28" s="83" t="str">
        <x:v>https://docs.wemos.cc/en/latest/s2/s2_mini.html</x:v>
      </x:c>
    </x:row>
    <x:row r="29" ht="56" customHeight="1">
      <x:c r="A29" t="str">
        <x:v>Espressif ESP32-S2 I2S</x:v>
      </x:c>
      <x:c r="B29" t="str">
        <x:v>Een I2S-perifeer en BCLK/WS/DOUT-semantiek</x:v>
      </x:c>
      <x:c r="C29" s="83" t="str">
        <x:v>Official silicon/driver documentation</x:v>
      </x:c>
      <x:c r="D29" s="83" t="str">
        <x:v>https://docs.espressif.com/projects/esp-idf/en/release-v5.2/esp32s2/api-reference/peripherals/i2s.html</x:v>
      </x:c>
    </x:row>
    <x:row r="30">
      <x:c r="A30" t="str">
        <x:v>CircuitPython environment variables</x:v>
      </x:c>
      <x:c r="B30" t="str">
        <x:v>settings.toml en os.getenv</x:v>
      </x:c>
      <x:c r="C30" t="str">
        <x:v>Official API guide</x:v>
      </x:c>
      <x:c r="D30" t="str">
        <x:v>https://docs.circuitpython.org/en/latest/docs/environment.html</x:v>
      </x:c>
    </x:row>
    <x:row r="31">
      <x:c r="A31" t="str">
        <x:v>CircuitPython storage workflow</x:v>
      </x:c>
      <x:c r="B31" t="str">
        <x:v>Host/device filesystem ownership</x:v>
      </x:c>
      <x:c r="C31" t="str">
        <x:v>Official workflow</x:v>
      </x:c>
      <x:c r="D31" t="str">
        <x:v>https://docs.circuitpython.org/en/10.1.1/docs/workflows.html</x:v>
      </x:c>
    </x:row>
    <x:row r="32">
      <x:c r="A32" t="str">
        <x:v>CircuitPython storage API</x:v>
      </x:c>
      <x:c r="B32" t="str">
        <x:v>Remount en destructive erase boundary</x:v>
      </x:c>
      <x:c r="C32" t="str">
        <x:v>Official API</x:v>
      </x:c>
      <x:c r="D32" t="str">
        <x:v>https://docs.circuitpython.org/en/10.0.3/shared-bindings/storage/</x:v>
      </x:c>
    </x:row>
    <x:row r="33">
      <x:c r="A33" t="str">
        <x:v>MIDI Association MIDI 1.0 summary</x:v>
      </x:c>
      <x:c r="B33" t="str">
        <x:v>Channel messages, 14-bit bend and timing clock</x:v>
      </x:c>
      <x:c r="C33" t="str">
        <x:v>Official standards body</x:v>
      </x:c>
      <x:c r="D33" t="str">
        <x:v>https://midi.org/summary-of-midi-1-0-messages</x:v>
      </x:c>
    </x:row>
    <x:row r="34">
      <x:c r="A34" t="str">
        <x:v>CircUp</x:v>
      </x:c>
      <x:c r="B34" t="str">
        <x:v>Requirements-gebaseerde CircuitPython library-installering</x:v>
      </x:c>
      <x:c r="C34" t="str">
        <x:v>Official tool</x:v>
      </x:c>
      <x:c r="D34" t="str">
        <x:v>https://docs.circuitpython.org/projects/circup/en/latest/</x:v>
      </x:c>
    </x:row>
    <x:row r="35" ht="44" customHeight="1">
      <x:c r="A35" s="137" t="str">
        <x:v>DhrBaksteen ArduinoOPL2</x:v>
      </x:c>
      <x:c r="B35" s="137" t="str">
        <x:v>Later OPL2 SPI contract, license and HIL</x:v>
      </x:c>
      <x:c r="C35" s="137" t="str">
        <x:v>User-provided source</x:v>
      </x:c>
      <x:c r="D35" s="137" t="str">
        <x:v>https://github.com/DhrBaksteen/ArduinoOPL2/tree/master/src</x:v>
      </x:c>
    </x:row>
    <x:row r="36" ht="44" customHeight="1">
      <x:c r="A36" s="138" t="str">
        <x:v>Malvineous pyopl</x:v>
      </x:c>
      <x:c r="B36" s="138" t="str">
        <x:v>Later OPL2 behavior and test reference</x:v>
      </x:c>
      <x:c r="C36" s="138" t="str">
        <x:v>User-provided source</x:v>
      </x:c>
      <x:c r="D36" s="138" t="str">
        <x:v>https://github.com/Malvineous/pyopl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039a29941a744ad"/>
  </x:tableParts>
</x:worksheet>
</file>
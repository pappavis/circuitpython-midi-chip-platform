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9c0c43a38b46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6ccdb17184e44e1"/>
    <x:sheet xmlns:r="http://schemas.openxmlformats.org/officeDocument/2006/relationships" name="Backlog" sheetId="2" r:id="Rc4b8b898c90b41f7"/>
    <x:sheet xmlns:r="http://schemas.openxmlformats.org/officeDocument/2006/relationships" name="Epics" sheetId="3" r:id="R6ed726de3302444b"/>
    <x:sheet xmlns:r="http://schemas.openxmlformats.org/officeDocument/2006/relationships" name="Risks" sheetId="4" r:id="Rb170511ee24d4eca"/>
    <x:sheet xmlns:r="http://schemas.openxmlformats.org/officeDocument/2006/relationships" name="Team RACI" sheetId="5" r:id="R7348692c6cb345bd"/>
    <x:sheet xmlns:r="http://schemas.openxmlformats.org/officeDocument/2006/relationships" name="Sources" sheetId="6" r:id="R7db169a4e55549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7126b348f4d90" /><Relationship Type="http://schemas.openxmlformats.org/officeDocument/2006/relationships/theme" Target="/xl/theme/theme1.xml" Id="R2153dd115a1147a3" /><Relationship Type="http://schemas.openxmlformats.org/officeDocument/2006/relationships/sharedStrings" Target="/xl/sharedStrings.xml" Id="Re91f0d7994c741c9" /><Relationship Type="http://schemas.openxmlformats.org/officeDocument/2006/relationships/worksheet" Target="/xl/worksheets/sheet1.xml" Id="R96ccdb17184e44e1" /><Relationship Type="http://schemas.openxmlformats.org/officeDocument/2006/relationships/worksheet" Target="/xl/worksheets/sheet2.xml" Id="Rc4b8b898c90b41f7" /><Relationship Type="http://schemas.openxmlformats.org/officeDocument/2006/relationships/worksheet" Target="/xl/worksheets/sheet3.xml" Id="R6ed726de3302444b" /><Relationship Type="http://schemas.openxmlformats.org/officeDocument/2006/relationships/worksheet" Target="/xl/worksheets/sheet4.xml" Id="Rb170511ee24d4eca" /><Relationship Type="http://schemas.openxmlformats.org/officeDocument/2006/relationships/worksheet" Target="/xl/worksheets/sheet5.xml" Id="R7348692c6cb345bd" /><Relationship Type="http://schemas.openxmlformats.org/officeDocument/2006/relationships/worksheet" Target="/xl/worksheets/sheet6.xml" Id="R7db169a4e555495c" /></Relationships>
</file>

<file path=xl/tables/table1.xml><?xml version="1.0" encoding="utf-8"?>
<x:table xmlns:x="http://schemas.openxmlformats.org/spreadsheetml/2006/main" id="1" name="BacklogTable" displayName="BacklogTable" ref="A4:L61" headerRowCount="1" totalsRowCount="0" totalsRowShown="0">
  <x:autoFilter ref="A4:L61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2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5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13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b7f6a2d09c46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55fa81b6764d9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6102fe929b43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6292d9c9bdd4cc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a485911b12f44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0 basislyn | v0.1.0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COUNTA('Backlog'!$A$5:$A$61)</x:f>
        <x:v>57</x:v>
      </x:c>
      <x:c r="C5" s="51"/>
      <x:c r="D5" s="56" t="str">
        <x:v>1. Veilige minimale USB-MIDI boot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COUNTIF('Backlog'!$F$5:$F$61,"Done")</x:f>
        <x:v>1</x:v>
      </x:c>
      <x:c r="C6" s="51"/>
      <x:c r="D6" s="58" t="str">
        <x:v>2. Meetbare PWM teenoor I2S-besluit</x:v>
      </x:c>
      <x:c r="E6" s="58"/>
      <x:c r="F6" s="58"/>
      <x:c r="G6" s="58"/>
      <x:c r="H6" s="58"/>
    </x:row>
    <x:row r="7">
      <x:c r="A7" s="58" t="str">
        <x:v>Ready</x:v>
      </x:c>
      <x:c r="B7" s="59" t="n">
        <x:f>COUNTIF('Backlog'!$F$5:$F$61,"Ready")</x:f>
        <x:v>0</x:v>
      </x:c>
      <x:c r="C7" s="51"/>
      <x:c r="D7" s="58" t="str">
        <x:v>3. Webpolling mag nie MIDI/klank destabiliseer nie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COUNTIF('Backlog'!$E$5:$E$61,"Must")</x:f>
        <x:v>36</x:v>
      </x:c>
      <x:c r="C8" s="51"/>
      <x:c r="D8" s="60" t="str">
        <x:v>4. Tweede kern eers ná SN76489 en poortkontrakte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COUNTIF('Risks'!$G$5:$G$22,"&lt;&gt;Closed")</x:f>
        <x:v>18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RACI'!$A$5:$A$15)</x:f>
        <x:v>11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Volgende story: MCP-US-002 Clean Repository And Project Skeleton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Review</x:v>
      </x:c>
      <x:c r="G6" s="24" t="str">
        <x:v>Sprint 1</x:v>
      </x:c>
      <x:c r="H6" s="24" t="str">
        <x:v>In Review/MVP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Backlog</x:v>
      </x:c>
      <x:c r="G7" s="24" t="str">
        <x:v>Sprint 1</x:v>
      </x:c>
      <x:c r="H7" s="24" t="str">
        <x:v>MVP</x:v>
      </x:c>
      <x:c r="I7" s="65" t="n">
        <x:v>8</x:v>
      </x:c>
      <x:c r="J7" s="24" t="str">
        <x:v>US-002</x:v>
      </x:c>
      <x:c r="K7" s="24" t="str">
        <x:v>USB-MIDI begin vóór runtime; geen netwerk of geheime in `boot.py` nie</x:v>
      </x:c>
      <x:c r="L7" s="24" t="str">
        <x:v>CHATOD-20260714-MCP-CP-MVP-001 / MCP-US-003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USB-MIDI-bron kan Note On/Off stuur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External IO MIDI Transport Spike</x:v>
      </x:c>
      <x:c r="D17" s="24" t="str">
        <x:v>MIDI Engineer</x:v>
      </x:c>
      <x:c r="E17" s="24" t="str">
        <x:v>Should</x:v>
      </x:c>
      <x:c r="F17" s="24" t="str">
        <x:v>Backlog</x:v>
      </x:c>
      <x:c r="G17" s="24" t="str">
        <x:v>Sprint 3</x:v>
      </x:c>
      <x:c r="H17" s="24" t="str">
        <x:v>Later</x:v>
      </x:c>
      <x:c r="I17" s="65" t="n">
        <x:v>3</x:v>
      </x:c>
      <x:c r="J17" s="24" t="str">
        <x:v>US-007</x:v>
      </x:c>
      <x:c r="K17" s="24" t="str">
        <x:v>UART/DIN- of ander IO-adapter word deur dieselfde MIDI-poort geabstraheer</x:v>
      </x:c>
      <x:c r="L17" s="24" t="str">
        <x:v>CHATOD-20260714-MCP-CP-MVP-001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Stereo PWM Diagnostic Backend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3</x:v>
      </x:c>
      <x:c r="H19" s="24" t="str">
        <x:v>MVP</x:v>
      </x:c>
      <x:c r="I19" s="65" t="n">
        <x:v>5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I2S Feasibility Spike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3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US-006, US-014</x:v>
      </x:c>
      <x:c r="K21" s="24" t="str">
        <x:v>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US-015, US-017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Audio Backend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Should</x:v>
      </x:c>
      <x:c r="F39" s="24" t="str">
        <x:v>Backlog</x:v>
      </x:c>
      <x:c r="G39" s="24" t="str">
        <x:v>Post-MVP</x:v>
      </x:c>
      <x:c r="H39" s="24" t="str">
        <x:v>Later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Should</x:v>
      </x:c>
      <x:c r="F40" s="24" t="str">
        <x:v>Backlog</x:v>
      </x:c>
      <x:c r="G40" s="24" t="str">
        <x:v>Post-MVP</x:v>
      </x:c>
      <x:c r="H40" s="24" t="str">
        <x:v>Later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Should</x:v>
      </x:c>
      <x:c r="F41" s="24" t="str">
        <x:v>Backlog</x:v>
      </x:c>
      <x:c r="G41" s="24" t="str">
        <x:v>Post-MVP</x:v>
      </x:c>
      <x:c r="H41" s="24" t="str">
        <x:v>Later</x:v>
      </x:c>
      <x:c r="I41" s="65" t="n">
        <x:v>8</x:v>
      </x:c>
      <x:c r="J41" s="24" t="str">
        <x:v>US-035, US-036</x:v>
      </x:c>
      <x:c r="K41" s="24" t="str">
        <x:v>Minstens twee kerne loop binne ’n gemete CPU/RAM-begroting</x:v>
      </x:c>
      <x:c r="L41" s="24" t="str">
        <x:v>CHATOD-20260714-MCP-CP-MVP-001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Backlog</x:v>
      </x:c>
      <x:c r="G55" s="24" t="str">
        <x:v>Release train</x:v>
      </x:c>
      <x:c r="H55" s="24" t="str">
        <x:v>MVP</x:v>
      </x:c>
      <x:c r="I55" s="65" t="n">
        <x:v>5</x:v>
      </x:c>
      <x:c r="J55" s="24" t="str">
        <x:v>US-003, US-015</x:v>
      </x:c>
      <x:c r="K55" s="24" t="str">
        <x:v>REPL, USB-MIDI en klankmeetstappe lewer ’n naspeurbare verslag</x:v>
      </x:c>
      <x:c r="L55" s="24" t="str">
        <x:v>CHATOD-20260714-MCP-CP-MVP-001 / MCP-US-051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Should</x:v>
      </x:c>
      <x:c r="F56" s="24" t="str">
        <x:v>Backlog</x:v>
      </x:c>
      <x:c r="G56" s="24" t="str">
        <x:v>Release train</x:v>
      </x:c>
      <x:c r="H56" s="24" t="str">
        <x:v>Later</x:v>
      </x:c>
      <x:c r="I56" s="65" t="n">
        <x:v>8</x:v>
      </x:c>
      <x:c r="J56" s="24" t="str">
        <x:v>US-004</x:v>
      </x:c>
      <x:c r="K56" s="24" t="str">
        <x:v>’n tweede CircuitPython-mikrobeheerder werk via ’n profiel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stuur note/clock en ontvang ’n stabiele uitvoerpad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2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b7f6a2d09c466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COUNTIF('Backlog'!$B$5:$B$61,A5)</x:f>
        <x:v>5</x:v>
      </x:c>
      <x:c r="D5" s="64" t="n">
        <x:f>COUNTIFS('Backlog'!$B$5:$B$61,A5,'Backlog'!$E$5:$E$61,"Must")</x:f>
        <x:v>4</x:v>
      </x:c>
      <x:c r="E5" s="64" t="n">
        <x:f>COUNTIFS('Backlog'!$B$5:$B$61,A5,'Backlog'!$F$5:$F$61,"Done")</x:f>
        <x:v>1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COUNTIF('Backlog'!$B$5:$B$61,A6)</x:f>
        <x:v>8</x:v>
      </x:c>
      <x:c r="D6" s="65" t="n">
        <x:f>COUNTIFS('Backlog'!$B$5:$B$61,A6,'Backlog'!$E$5:$E$61,"Must")</x:f>
        <x:v>7</x:v>
      </x:c>
      <x:c r="E6" s="65" t="n">
        <x:f>COUNTIFS('Backlog'!$B$5:$B$61,A6,'Backlog'!$F$5:$F$61,"Done")</x:f>
        <x:v>0</x:v>
      </x:c>
      <x:c r="F6" s="24" t="str">
        <x:v>USB-MIDI, kontroles en interne/eksterne klok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COUNTIF('Backlog'!$B$5:$B$61,A7)</x:f>
        <x:v>8</x:v>
      </x:c>
      <x:c r="D7" s="65" t="n">
        <x:f>COUNTIFS('Backlog'!$B$5:$B$61,A7,'Backlog'!$E$5:$E$61,"Must")</x:f>
        <x:v>8</x:v>
      </x:c>
      <x:c r="E7" s="65" t="n">
        <x:f>COUNTIFS('Backlog'!$B$5:$B$61,A7,'Backlog'!$F$5:$F$61,"Done")</x:f>
        <x:v>0</x:v>
      </x:c>
      <x:c r="F7" s="24" t="str">
        <x:v>SN76489, stereo-uitvoer en backendbesluit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COUNTIF('Backlog'!$B$5:$B$61,A8)</x:f>
        <x:v>6</x:v>
      </x:c>
      <x:c r="D8" s="65" t="n">
        <x:f>COUNTIFS('Backlog'!$B$5:$B$61,A8,'Backlog'!$E$5:$E$61,"Must")</x:f>
        <x:v>6</x:v>
      </x:c>
      <x:c r="E8" s="65" t="n">
        <x:f>COUNTIFS('Backlog'!$B$5:$B$61,A8,'Backlog'!$F$5:$F$61,"Done")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COUNTIF('Backlog'!$B$5:$B$61,A9)</x:f>
        <x:v>6</x:v>
      </x:c>
      <x:c r="D9" s="65" t="n">
        <x:f>COUNTIFS('Backlog'!$B$5:$B$61,A9,'Backlog'!$E$5:$E$61,"Must")</x:f>
        <x:v>1</x:v>
      </x:c>
      <x:c r="E9" s="65" t="n">
        <x:f>COUNTIFS('Backlog'!$B$5:$B$61,A9,'Backlog'!$F$5:$F$61,"Done")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COUNTIF('Backlog'!$B$5:$B$61,A10)</x:f>
        <x:v>9</x:v>
      </x:c>
      <x:c r="D10" s="65" t="n">
        <x:f>COUNTIFS('Backlog'!$B$5:$B$61,A10,'Backlog'!$E$5:$E$61,"Must")</x:f>
        <x:v>1</x:v>
      </x:c>
      <x:c r="E10" s="65" t="n">
        <x:f>COUNTIFS('Backlog'!$B$5:$B$61,A10,'Backlog'!$F$5:$F$61,"Done")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COUNTIF('Backlog'!$B$5:$B$61,A11)</x:f>
        <x:v>7</x:v>
      </x:c>
      <x:c r="D11" s="65" t="n">
        <x:f>COUNTIFS('Backlog'!$B$5:$B$61,A11,'Backlog'!$E$5:$E$61,"Must")</x:f>
        <x:v>3</x:v>
      </x:c>
      <x:c r="E11" s="65" t="n">
        <x:f>COUNTIFS('Backlog'!$B$5:$B$61,A11,'Backlog'!$F$5:$F$61,"Done")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COUNTIF('Backlog'!$B$5:$B$61,A12)</x:f>
        <x:v>8</x:v>
      </x:c>
      <x:c r="D12" s="66" t="n">
        <x:f>COUNTIFS('Backlog'!$B$5:$B$61,A12,'Backlog'!$E$5:$E$61,"Must")</x:f>
        <x:v>6</x:v>
      </x:c>
      <x:c r="E12" s="66" t="n">
        <x:f>COUNTIFS('Backlog'!$B$5:$B$61,A12,'Backlog'!$F$5:$F$61,"Done")</x:f>
        <x:v>0</x:v>
      </x:c>
      <x:c r="F12" s="25" t="str">
        <x:v>Host/HIL,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955fa81b6764d9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3" hidden="0" customWidth="1"/>
    <x:col min="3" max="3" width="14" hidden="0" customWidth="1"/>
    <x:col min="4" max="4" width="14" hidden="0" customWidth="1"/>
    <x:col min="5" max="5" width="18" hidden="0" customWidth="1"/>
    <x:col min="6" max="6" width="54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Hoë risiko’s word vroeg sigbaar gemaak; geen demo-status verberg ’n blocker nie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in MVP; budget gate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Klankvlak beskadig uitsetketting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Filter/buffer/versterker en meting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1">
    <x:dataValidation type="list" sqref="G5:G22">
      <x:formula1>"Open,Open - human action,Controlled,Closed"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6102fe929b430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48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rol gee ’n sigbare bydrae; PO bly die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16292d9c9bdd4cc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Primêre dokumentasie voor sekondêre demonstrasies;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a485911b12f44e5"/>
  </x:tableParts>
</x:worksheet>
</file>
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d3622b8cd04d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40dae95685b41ad"/>
    <x:sheet xmlns:r="http://schemas.openxmlformats.org/officeDocument/2006/relationships" name="Backlog" sheetId="2" r:id="R6400a712d07c4ceb"/>
    <x:sheet xmlns:r="http://schemas.openxmlformats.org/officeDocument/2006/relationships" name="Epics" sheetId="3" r:id="Reb5064f75804472b"/>
    <x:sheet xmlns:r="http://schemas.openxmlformats.org/officeDocument/2006/relationships" name="Risks" sheetId="4" r:id="Rb218b690836548ce"/>
    <x:sheet xmlns:r="http://schemas.openxmlformats.org/officeDocument/2006/relationships" name="Team RACI" sheetId="5" r:id="Rffe0288201ff4195"/>
    <x:sheet xmlns:r="http://schemas.openxmlformats.org/officeDocument/2006/relationships" name="Sources" sheetId="6" r:id="R29df99fc2ad443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2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  <x:fill>
      <x:patternFill patternType="solid">
        <x:fgColor rgb="FFFFFFFF"/>
      </x:patternFill>
    </x:fill>
    <x:fill>
      <x:patternFill patternType="solid">
        <x:fgColor rgb="FFBFE5F4"/>
      </x:patternFill>
    </x:fill>
    <x:fill>
      <x:patternFill patternType="solid">
        <x:fgColor rgb="FFBCEFC6"/>
      </x:patternFill>
    </x:fill>
    <x:fill>
      <x:patternFill patternType="solid">
        <x:fgColor rgb="FF80C6E3"/>
      </x:patternFill>
    </x:fill>
    <x:fill>
      <x:patternFill patternType="solid">
        <x:fgColor rgb="FFBFE5F4"/>
      </x:patternFill>
    </x:fill>
    <x:fill>
      <x:patternFill patternType="solid">
        <x:fgColor rgb="FFFFFFFF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19" borderId="4" xfId="0" applyNumberFormat="1" applyFont="1" applyFill="1" applyBorder="1" applyAlignment="1">
      <x:alignment vertical="center" wrapText="1"/>
    </x:xf>
    <x:xf numFmtId="0" fontId="4" fillId="21" borderId="4" xfId="0" applyNumberFormat="1" applyFont="1" applyFill="1" applyBorder="1" applyAlignment="1">
      <x:alignment vertical="center" wrapText="1"/>
    </x:xf>
    <x:xf numFmtId="0" fontId="4" fillId="21" borderId="5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66ff8a06e14a89" /><Relationship Type="http://schemas.openxmlformats.org/officeDocument/2006/relationships/theme" Target="/xl/theme/theme1.xml" Id="R16beefdc9c77443b" /><Relationship Type="http://schemas.openxmlformats.org/officeDocument/2006/relationships/sharedStrings" Target="/xl/sharedStrings.xml" Id="R12eaec0fc6ff49e9" /><Relationship Type="http://schemas.openxmlformats.org/officeDocument/2006/relationships/worksheet" Target="/xl/worksheets/sheet1.xml" Id="R540dae95685b41ad" /><Relationship Type="http://schemas.openxmlformats.org/officeDocument/2006/relationships/worksheet" Target="/xl/worksheets/sheet2.xml" Id="R6400a712d07c4ceb" /><Relationship Type="http://schemas.openxmlformats.org/officeDocument/2006/relationships/worksheet" Target="/xl/worksheets/sheet3.xml" Id="Reb5064f75804472b" /><Relationship Type="http://schemas.openxmlformats.org/officeDocument/2006/relationships/worksheet" Target="/xl/worksheets/sheet4.xml" Id="Rb218b690836548ce" /><Relationship Type="http://schemas.openxmlformats.org/officeDocument/2006/relationships/worksheet" Target="/xl/worksheets/sheet5.xml" Id="Rffe0288201ff4195" /><Relationship Type="http://schemas.openxmlformats.org/officeDocument/2006/relationships/worksheet" Target="/xl/worksheets/sheet6.xml" Id="R29df99fc2ad4434d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b9b78f0adbe424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e212193b2814c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11337264f204be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8500c26c7c84ce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04c87d7be0b4ad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3 | scope v0.24.0 | runtime v0.15.0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f>COUNTA('Backlog'!$A$5:$A$200)</x:f>
        <x:v>74</x:v>
      </x:c>
      <x:c r="C5" s="85"/>
      <x:c r="D5" s="110" t="str">
        <x:v>1. Product Owner run d1-diagnose en bevestig PASS</x:v>
      </x:c>
      <x:c r="E5" s="110"/>
      <x:c r="F5" s="110"/>
      <x:c r="G5" s="110"/>
      <x:c r="H5" s="110"/>
    </x:row>
    <x:row r="6">
      <x:c r="A6" s="111" t="str">
        <x:v>Done</x:v>
      </x:c>
      <x:c r="B6" s="114" t="n">
        <x:f>COUNTIF('Backlog'!$F$5:$F$200,"Done")</x:f>
        <x:v>15</x:v>
      </x:c>
      <x:c r="C6" s="85"/>
      <x:c r="D6" s="111" t="str">
        <x:v>2. Sluit US-063; begin US-055 Logic/USB-MIDI/I2S integrasie</x:v>
      </x:c>
      <x:c r="E6" s="111"/>
      <x:c r="F6" s="111"/>
      <x:c r="G6" s="111"/>
      <x:c r="H6" s="111"/>
    </x:row>
    <x:row r="7">
      <x:c r="A7" s="111" t="str">
        <x:v>In Progress</x:v>
      </x:c>
      <x:c r="B7" s="114" t="n">
        <x:f>COUNTIF('Backlog'!$F$5:$F$200,"In Progress")</x:f>
        <x:v>0</x:v>
      </x:c>
      <x:c r="C7" s="85"/>
      <x:c r="D7" s="111" t="str">
        <x:v>3. D1 sine/saw/square met korrekte Note On/Off</x:v>
      </x:c>
      <x:c r="E7" s="111"/>
      <x:c r="F7" s="111"/>
      <x:c r="G7" s="111"/>
      <x:c r="H7" s="111"/>
    </x:row>
    <x:row r="8">
      <x:c r="A8" s="111" t="str">
        <x:v>MVP acceptance-set</x:v>
      </x:c>
      <x:c r="B8" s="114" t="n">
        <x:f>COUNTIF('Backlog'!$H$5:$H$200,"MVP-Must")+COUNTIF('Backlog'!$H$5:$H$200,"MVP-Enabler")+COUNTIF('Backlog'!$H$5:$H$200,"MVP-Enabler (Done)")+COUNTIF('Backlog'!$H$5:$H$200,"MVP-Enabler (In Review)")</x:f>
        <x:v>16</x:v>
      </x:c>
      <x:c r="C8" s="85"/>
      <x:c r="D8" s="112" t="str">
        <x:v>4. Logic External MIDI na hoorbare D1 op verwysingsbord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COUNTA('Risks'!$A$5:$A$200)</x:f>
        <x:v>34</x:v>
      </x:c>
      <x:c r="C9" s="85"/>
      <x:c r="D9" s="116" t="str">
        <x:v>5. Release; daarna SN76489 en volgende kerne</x:v>
      </x:c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RACI'!$A$5:$A$100)</x:f>
        <x:v>14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114 tests GREEN | US-063 In Review | draagbare D1 sine/saw/square + Note On/Off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MVP 2026-07-16: verwysingsbord ontvang Logic USB-MIDI en speel hoorbare D1; alle volgende cores en uitbreidings is post-MVP.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  <x:mergeCell ref="A15:H15"/>
    <x:mergeCell ref="D9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v0.24.0 | 74 stories | 16-story bevrore MVP Acceptance Set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MVP-Enabler (Done)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MVP-Enabler (Done)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MVP-Enabler (Done)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MVP-Enabler (Done)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Done</x:v>
      </x:c>
      <x:c r="G9" s="24" t="str">
        <x:v>Sprint 1</x:v>
      </x:c>
      <x:c r="H9" s="24" t="str">
        <x:v>MVP-Enabler (Done)</x:v>
      </x:c>
      <x:c r="I9" s="65" t="n">
        <x:v>5</x:v>
      </x:c>
      <x:c r="J9" s="24" t="str">
        <x:v>US-003</x:v>
      </x:c>
      <x:c r="K9" s="24" t="str">
        <x:v>Host secret-leak tests and Wemos v0.12.3 prove PASS, three empty private settings as UNSET and device execution READY without exposing values</x:v>
      </x:c>
      <x:c r="L9" s="24" t="str">
        <x:v>CHATOD-20260714-MCP-CP-MVP-001 / MCP-US-005-HIL-ACCEPTED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MVP-Enabler (Done)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Done</x:v>
      </x:c>
      <x:c r="G11" s="24" t="str">
        <x:v>Sprint 2</x:v>
      </x:c>
      <x:c r="H11" s="24" t="str">
        <x:v>MVP-Enabler (Done)</x:v>
      </x:c>
      <x:c r="I11" s="65" t="n">
        <x:v>5</x:v>
      </x:c>
      <x:c r="J11" s="24" t="str">
        <x:v>US-003, US-006</x:v>
      </x:c>
      <x:c r="K11" s="24" t="str">
        <x:v>v0.12.2 ontvang fisies USB-MIDI vanaf Logic/CoreMIDI; twee Note On, een Note Off en matched_notes=1 is op die Wemos S2 gerapporteer</x:v>
      </x:c>
      <x:c r="L11" s="24" t="str">
        <x:v>CHATOD-20260714-MCP-CP-MVP-001 / MCP-US-007-ACCEPTANCE / v0.12.2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MVP-Enabler (Done)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MVP-Enabler (Done)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Post-MVP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Post-MVP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Post-MVP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Post-MVP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Done</x:v>
      </x:c>
      <x:c r="G18" s="24" t="str">
        <x:v>Sprint 3</x:v>
      </x:c>
      <x:c r="H18" s="24" t="str">
        <x:v>MVP-Enabler (Done)</x:v>
      </x:c>
      <x:c r="I18" s="65" t="n">
        <x:v>5</x:v>
      </x:c>
      <x:c r="J18" s="24" t="str">
        <x:v>US-002</x:v>
      </x:c>
      <x:c r="K18" s="24" t="str">
        <x:v>Bounded interleaved signed-16 PCM blocks, mono/stereo format, Null/Memory outputs, application integration and 17-file deploy manifest pass 99 host tests; no physical audio claim</x:v>
      </x:c>
      <x:c r="L18" s="24" t="str">
        <x:v>CHATOD-20260714-MCP-CP-MVP-001 / MCP-US-014-START / v0.13.0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Post-MVP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Standalone I2S Audible Diagnostic (MAX98357 Default)</x:v>
      </x:c>
      <x:c r="D20" s="24" t="str">
        <x:v>DSP/Chip Engineer</x:v>
      </x:c>
      <x:c r="E20" s="24" t="str">
        <x:v>Must</x:v>
      </x:c>
      <x:c r="F20" s="24" t="str">
        <x:v>Done</x:v>
      </x:c>
      <x:c r="G20" s="24" t="str">
        <x:v>Sprint 3</x:v>
      </x:c>
      <x:c r="H20" s="24" t="str">
        <x:v>MVP-Must</x:v>
      </x:c>
      <x:c r="I20" s="65" t="n">
        <x:v>5</x:v>
      </x:c>
      <x:c r="J20" s="24" t="str">
        <x:v>US-004, US-014</x:v>
      </x:c>
      <x:c r="K20" s="24" t="str">
        <x:v>PASS 2026-07-16: Wemos S2/MAX98357A played audible mono G3-C4-D4; serial notes=3, heap 2056512-&gt;2056192, 103 host tests; long burn-in tracked by US-051/US-057</x:v>
      </x:c>
      <x:c r="L20" s="24" t="str">
        <x:v>CHATOD-20260714-MCP-CP-MVP-001 / MCP-US-016-HIL-PASS-001 / v0.14.0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Post-MVP</x:v>
      </x:c>
      <x:c r="I21" s="65" t="n">
        <x:v>5</x:v>
      </x:c>
      <x:c r="J21" s="24" t="str">
        <x:v>US-063, US-057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Post-MVP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Post-MVP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Integrated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Post-MVP</x:v>
      </x:c>
      <x:c r="I24" s="65" t="n">
        <x:v>5</x:v>
      </x:c>
      <x:c r="J24" s="24" t="str">
        <x:v>US-016, US-063</x:v>
      </x:c>
      <x:c r="K24" s="24" t="str">
        <x:v>Post-MVP startup tune uses D1/runtime AudioOutput and remains distinct from standalone US-016 hardware diagnostic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Post-MVP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Post-MVP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Post-MVP</x:v>
      </x:c>
      <x:c r="I27" s="65" t="n">
        <x:v>5</x:v>
      </x:c>
      <x:c r="J27" s="24" t="str">
        <x:v>US-005, US-022</x:v>
      </x:c>
      <x:c r="K27" s="24" t="str">
        <x:v>Startup rapporteer hostname plus station/IP of veilige AP-fallback/IP; join is begrens, geredigeer en blokkeer nie MIDI/klank nie</x:v>
      </x:c>
      <x:c r="L27" s="24" t="str">
        <x:v>CHATOD-20260714-MCP-CP-MVP-001 / MCP-US-007-ACCEPTANCE-START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Post-MVP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Post-MVP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Post-MVP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Post-MVP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Post-MVP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Post-MVP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Post-MVP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Post-MVP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Post-MVP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Post-MVP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Post-MVP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Post-MVP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MVP-Enabler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MVP-Enabler (In Review)</x:v>
      </x:c>
      <x:c r="I55" s="65" t="n">
        <x:v>5</x:v>
      </x:c>
      <x:c r="J55" s="24" t="str">
        <x:v>US-003, US-016</x:v>
      </x:c>
      <x:c r="K55" s="24" t="str">
        <x:v>Deploy/closure/boot/import execution remains green; audio adapter adds rate-limited heap, reset and dropout burn-in telemetry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Post-MVP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Post-MVP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Audible D1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MVP-Must</x:v>
      </x:c>
      <x:c r="I59" s="65" t="n">
        <x:v>5</x:v>
      </x:c>
      <x:c r="J59" s="24" t="str">
        <x:v>US-003, US-007, US-009, US-014, US-016, US-063</x:v>
      </x:c>
      <x:c r="K59" s="24" t="str">
        <x:v>Logic selects the board and the user hears D1; the reference board then passes an 8-hour USB-MIDI/audio/heap burn-in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Post-MVP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MVP-Must</x:v>
      </x:c>
      <x:c r="I61" s="66" t="n">
        <x:v>5</x:v>
      </x:c>
      <x:c r="J61" s="25" t="str">
        <x:v>US-001 to US-009, US-014, US-016, US-050, US-051, US-055, US-063</x:v>
      </x:c>
      <x:c r="K61" s="25" t="str">
        <x:v>Tag, release notes, known limitations and a passing 8-hour burn-in report accompany the Logic-to-audible-D1 demo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Post-MVP</x:v>
      </x:c>
      <x:c r="I62" s="77" t="n">
        <x:v>5</x:v>
      </x:c>
      <x:c r="J62" s="83" t="str">
        <x:v>US-008, US-010</x:v>
      </x:c>
      <x:c r="K62" s="83" t="str">
        <x:v>Multi-kanaal note en per-kanaal bends behou onafhanklike string/slide-semantiek met konfigureerbare bend range</x:v>
      </x:c>
      <x:c r="L62" s="83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Post-MVP</x:v>
      </x:c>
      <x:c r="I63" s="78" t="n">
        <x:v>5</x:v>
      </x:c>
      <x:c r="J63" s="83" t="str">
        <x:v>US-018, US-058</x:v>
      </x:c>
      <x:c r="K63" s="83" t="str">
        <x:v>'n Generiese MIDI-kitaar en Fishman-verwysing speel note, akkoorde, bends en slides; geen toestelnaam is 'n kodekonstante nie</x:v>
      </x:c>
      <x:c r="L63" s="83" t="str">
        <x:v>CHATOD-20260714-MCP-CP-MVP-001 / MCP-US-059</x:v>
      </x:c>
    </x:row>
    <x:row r="64" ht="34" customHeight="1">
      <x:c r="A64" s="83" t="str">
        <x:v>MCP-US-060</x:v>
      </x:c>
      <x:c r="B64" s="83" t="str">
        <x:v>MCP-EPIC-008</x:v>
      </x:c>
      <x:c r="C64" s="83" t="str">
        <x:v>Standalone External MIDI Host Acceptance</x:v>
      </x:c>
      <x:c r="D64" s="83" t="str">
        <x:v>QA/Release</x:v>
      </x:c>
      <x:c r="E64" s="83" t="str">
        <x:v>Must</x:v>
      </x:c>
      <x:c r="F64" s="83" t="str">
        <x:v>Backlog</x:v>
      </x:c>
      <x:c r="G64" s="83" t="str">
        <x:v>Release train</x:v>
      </x:c>
      <x:c r="H64" s="83" t="str">
        <x:v>Post-MVP</x:v>
      </x:c>
      <x:c r="I64" s="83" t="n">
        <x:v>5</x:v>
      </x:c>
      <x:c r="J64" s="83" t="str">
        <x:v>US-013, US-017</x:v>
      </x:c>
      <x:c r="K64" s="83" t="str">
        <x:v>Controller na Raspberry Pi/eksterne USB-host na DIN/UART lewer note, bend en clock sonder DAW</x:v>
      </x:c>
      <x:c r="L64" s="83" t="str">
        <x:v>CHATOD-20260714-MCP-CP-MVP-001 / MIDI-TRANSPORT-MULTICORE-AMENDMENT-001 / MCP-US-060</x:v>
      </x:c>
    </x:row>
    <x:row r="65" ht="34" customHeight="1">
      <x:c r="A65" s="83" t="str">
        <x:v>MCP-US-061</x:v>
      </x:c>
      <x:c r="B65" s="83" t="str">
        <x:v>MCP-EPIC-006</x:v>
      </x:c>
      <x:c r="C65" s="83" t="str">
        <x:v>Multi-Core Resource Guard And Telemetry</x:v>
      </x:c>
      <x:c r="D65" s="83" t="str">
        <x:v>DSP/Chip Engineer</x:v>
      </x:c>
      <x:c r="E65" s="83" t="str">
        <x:v>Must</x:v>
      </x:c>
      <x:c r="F65" s="83" t="str">
        <x:v>Backlog</x:v>
      </x:c>
      <x:c r="G65" s="83" t="str">
        <x:v>MVP-late</x:v>
      </x:c>
      <x:c r="H65" s="83" t="str">
        <x:v>Post-MVP</x:v>
      </x:c>
      <x:c r="I65" s="83" t="n">
        <x:v>5</x:v>
      </x:c>
      <x:c r="J65" s="83" t="str">
        <x:v>US-037</x:v>
      </x:c>
      <x:c r="K65" s="83" t="str">
        <x:v>Heap, looplatensie en dropout word gemeet; onveilige addisionele kern word deterministies geweier of afgeskakel</x:v>
      </x:c>
      <x:c r="L65" s="83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Post-MVP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In Review</x:v>
      </x:c>
      <x:c r="G67" s="83" t="str">
        <x:v>Sprint 3</x:v>
      </x:c>
      <x:c r="H67" s="83" t="str">
        <x:v>MVP-Must</x:v>
      </x:c>
      <x:c r="I67" s="83" t="n">
        <x:v>8</x:v>
      </x:c>
      <x:c r="J67" s="83" t="str">
        <x:v>US-006, US-008, US-009, US-014, US-016</x:v>
      </x:c>
      <x:c r="K67" s="83" t="str">
        <x:v>v0.15.0 portable monophonic D1 sine/saw/square core: A4=440Hz, velocity, phase continuity, Note Off silence, continuous block rendering, d1-diagnose and 114 host tests GREEN; audible Logic/I2S remains US-055</x:v>
      </x:c>
      <x:c r="L67" s="83" t="str">
        <x:v>CHATOD-20260714-MCP-CP-MVP-001 / MCP-US-063-START / v0.15.0</x:v>
      </x:c>
    </x:row>
    <x:row r="68" ht="48" customHeight="1">
      <x:c r="A68" s="140" t="str">
        <x:v>MCP-US-064</x:v>
      </x:c>
      <x:c r="B68" s="140" t="str">
        <x:v>MCP-EPIC-009</x:v>
      </x:c>
      <x:c r="C68" s="140" t="str">
        <x:v>Enterprise Vision And Architecture Baseline</x:v>
      </x:c>
      <x:c r="D68" s="140" t="str">
        <x:v>Chief Enterprise Architect</x:v>
      </x:c>
      <x:c r="E68" s="140" t="str">
        <x:v>Must</x:v>
      </x:c>
      <x:c r="F68" s="140" t="str">
        <x:v>Done</x:v>
      </x:c>
      <x:c r="G68" s="140" t="str">
        <x:v>Sprint 2</x:v>
      </x:c>
      <x:c r="H68" s="140" t="str">
        <x:v>Done</x:v>
      </x:c>
      <x:c r="I68" s="140" t="n">
        <x:v>5</x:v>
      </x:c>
      <x:c r="J68" s="140" t="str">
        <x:v>US-001, US-002</x:v>
      </x:c>
      <x:c r="K68" s="140" t="str">
        <x:v>Enterprise vision plus framework, solution and deployment architecture form one cross-linked baseline</x:v>
      </x:c>
      <x:c r="L68" s="140" t="str">
        <x:v>CHATOD-20260714-MCP-CP-MVP-001 / FRAMEWORK-ENGINEERING-001 / MCP-US-064</x:v>
      </x:c>
    </x:row>
    <x:row r="69" ht="48" customHeight="1">
      <x:c r="A69" s="127" t="str">
        <x:v>MCP-US-065</x:v>
      </x:c>
      <x:c r="B69" s="127" t="str">
        <x:v>MCP-EPIC-009</x:v>
      </x:c>
      <x:c r="C69" s="127" t="str">
        <x:v>Enterprise Meta Model, Glossary And Artefact Taxonomy</x:v>
      </x:c>
      <x:c r="D69" s="127" t="str">
        <x:v>Framework Engineer</x:v>
      </x:c>
      <x:c r="E69" s="127" t="str">
        <x:v>Must</x:v>
      </x:c>
      <x:c r="F69" s="127" t="str">
        <x:v>Done</x:v>
      </x:c>
      <x:c r="G69" s="127" t="str">
        <x:v>Sprint 2</x:v>
      </x:c>
      <x:c r="H69" s="127" t="str">
        <x:v>Done</x:v>
      </x:c>
      <x:c r="I69" s="127" t="n">
        <x:v>5</x:v>
      </x:c>
      <x:c r="J69" s="127" t="str">
        <x:v>US-064</x:v>
      </x:c>
      <x:c r="K69" s="127" t="str">
        <x:v>Roles, stories, components, tests, risks and decisions have named relationships and owners</x:v>
      </x:c>
      <x:c r="L69" s="127" t="str">
        <x:v>CHATOD-20260714-MCP-CP-MVP-001 / FRAMEWORK-ENGINEERING-001 / MCP-US-065</x:v>
      </x:c>
    </x:row>
    <x:row r="70" ht="48" customHeight="1">
      <x:c r="A70" s="140" t="str">
        <x:v>MCP-US-066</x:v>
      </x:c>
      <x:c r="B70" s="140" t="str">
        <x:v>MCP-EPIC-009</x:v>
      </x:c>
      <x:c r="C70" s="140" t="str">
        <x:v>Quality Manual, Test Strategy And Review Engine</x:v>
      </x:c>
      <x:c r="D70" s="140" t="str">
        <x:v>QA/Release</x:v>
      </x:c>
      <x:c r="E70" s="140" t="str">
        <x:v>Must</x:v>
      </x:c>
      <x:c r="F70" s="140" t="str">
        <x:v>Done</x:v>
      </x:c>
      <x:c r="G70" s="140" t="str">
        <x:v>Sprint 2</x:v>
      </x:c>
      <x:c r="H70" s="140" t="str">
        <x:v>Done</x:v>
      </x:c>
      <x:c r="I70" s="140" t="n">
        <x:v>5</x:v>
      </x:c>
      <x:c r="J70" s="140" t="str">
        <x:v>US-064, US-065</x:v>
      </x:c>
      <x:c r="K70" s="140" t="str">
        <x:v>Definition of Done points to repeatable quality, test and review gates without treating docs as proof</x:v>
      </x:c>
      <x:c r="L70" s="140" t="str">
        <x:v>CHATOD-20260714-MCP-CP-MVP-001 / FRAMEWORK-ENGINEERING-001 / MCP-US-066</x:v>
      </x:c>
    </x:row>
    <x:row r="71" ht="48" customHeight="1">
      <x:c r="A71" s="127" t="str">
        <x:v>MCP-US-067</x:v>
      </x:c>
      <x:c r="B71" s="127" t="str">
        <x:v>MCP-EPIC-009</x:v>
      </x:c>
      <x:c r="C71" s="127" t="str">
        <x:v>Prompt Compiler, Context Loader And Knowledge Base Structure</x:v>
      </x:c>
      <x:c r="D71" s="127" t="str">
        <x:v>Framework Engineer</x:v>
      </x:c>
      <x:c r="E71" s="127" t="str">
        <x:v>Should</x:v>
      </x:c>
      <x:c r="F71" s="127" t="str">
        <x:v>Done</x:v>
      </x:c>
      <x:c r="G71" s="127" t="str">
        <x:v>Sprint 2</x:v>
      </x:c>
      <x:c r="H71" s="127" t="str">
        <x:v>Done</x:v>
      </x:c>
      <x:c r="I71" s="127" t="n">
        <x:v>5</x:v>
      </x:c>
      <x:c r="J71" s="127" t="str">
        <x:v>US-065, US-066</x:v>
      </x:c>
      <x:c r="K71" s="127" t="str">
        <x:v>Agents load minimal authoritative context and produce traceable story packages without runtime LLM dependency</x:v>
      </x:c>
      <x:c r="L71" s="127" t="str">
        <x:v>CHATOD-20260714-MCP-CP-MVP-001 / FRAMEWORK-ENGINEERING-001 / MCP-US-067</x:v>
      </x:c>
    </x:row>
    <x:row r="72" ht="48" customHeight="1">
      <x:c r="A72" s="140" t="str">
        <x:v>MCP-US-068</x:v>
      </x:c>
      <x:c r="B72" s="140" t="str">
        <x:v>MCP-EPIC-008</x:v>
      </x:c>
      <x:c r="C72" s="140" t="str">
        <x:v>Stable USB MIDI Instance Identity</x:v>
      </x:c>
      <x:c r="D72" s="140" t="str">
        <x:v>Embedded/Release</x:v>
      </x:c>
      <x:c r="E72" s="140" t="str">
        <x:v>Must</x:v>
      </x:c>
      <x:c r="F72" s="140" t="str">
        <x:v>Backlog</x:v>
      </x:c>
      <x:c r="G72" s="140" t="str">
        <x:v>Release train</x:v>
      </x:c>
      <x:c r="H72" s="140" t="str">
        <x:v>Post-MVP</x:v>
      </x:c>
      <x:c r="I72" s="140" t="n">
        <x:v>5</x:v>
      </x:c>
      <x:c r="J72" s="140" t="str">
        <x:v>US-003, US-004, US-055</x:v>
      </x:c>
      <x:c r="K72" s="140" t="str">
        <x:v>Each device exposes a recognizable product name plus stable four-character instance ID; two devices are distinguishable without UID/MAC leakage</x:v>
      </x:c>
      <x:c r="L72" s="140" t="str">
        <x:v>CHATOD-20260714-MCP-CP-MVP-001 / MCP-US-007-ACCEPTANCE / MCP-US-068</x:v>
      </x:c>
    </x:row>
    <x:row r="73" ht="52" customHeight="1">
      <x:c r="A73" s="127" t="str">
        <x:v>MCP-US-069</x:v>
      </x:c>
      <x:c r="B73" s="127" t="str">
        <x:v>MCP-EPIC-010</x:v>
      </x:c>
      <x:c r="C73" s="127" t="str">
        <x:v>External I2C Status Display Adapter</x:v>
      </x:c>
      <x:c r="D73" s="127" t="str">
        <x:v>Embedded/Web</x:v>
      </x:c>
      <x:c r="E73" s="127" t="str">
        <x:v>Should</x:v>
      </x:c>
      <x:c r="F73" s="127" t="str">
        <x:v>Backlog</x:v>
      </x:c>
      <x:c r="G73" s="127" t="str">
        <x:v>Post-MVP</x:v>
      </x:c>
      <x:c r="H73" s="127" t="str">
        <x:v>Later</x:v>
      </x:c>
      <x:c r="I73" s="127" t="n">
        <x:v>5</x:v>
      </x:c>
      <x:c r="J73" s="127" t="str">
        <x:v>US-004, US-022</x:v>
      </x:c>
      <x:c r="K73" s="127" t="str">
        <x:v>Capability-gated SSD1306/similar display shows rate-limited status; absence never changes synth behavior</x:v>
      </x:c>
      <x:c r="L73" s="127" t="str">
        <x:v>CHATOD-20260714-MCP-CP-MVP-001 / MCP-US-007-ACCEPTANCE-START / MCP-US-069</x:v>
      </x:c>
    </x:row>
    <x:row r="74" ht="52" customHeight="1">
      <x:c r="A74" s="140" t="str">
        <x:v>MCP-US-070</x:v>
      </x:c>
      <x:c r="B74" s="140" t="str">
        <x:v>MCP-EPIC-010</x:v>
      </x:c>
      <x:c r="C74" s="140" t="str">
        <x:v>Physical Chip Transport And Capability Abstraction</x:v>
      </x:c>
      <x:c r="D74" s="140" t="str">
        <x:v>Solution Architect</x:v>
      </x:c>
      <x:c r="E74" s="140" t="str">
        <x:v>Should</x:v>
      </x:c>
      <x:c r="F74" s="140" t="str">
        <x:v>Backlog</x:v>
      </x:c>
      <x:c r="G74" s="140" t="str">
        <x:v>Post-MVP</x:v>
      </x:c>
      <x:c r="H74" s="140" t="str">
        <x:v>Later</x:v>
      </x:c>
      <x:c r="I74" s="140" t="n">
        <x:v>8</x:v>
      </x:c>
      <x:c r="J74" s="140" t="str">
        <x:v>US-004, US-034</x:v>
      </x:c>
      <x:c r="K74" s="140" t="str">
        <x:v>Class-based GPIO, I2C-expander and SPI transport ports are capability-gated without chip or pin constants</x:v>
      </x:c>
      <x:c r="L74" s="140" t="str">
        <x:v>CHATOD-20260714-MCP-CP-MVP-001 / MCP-US-007-ACCEPTANCE-START / MCP-US-070</x:v>
      </x:c>
    </x:row>
    <x:row r="75" ht="52" customHeight="1">
      <x:c r="A75" s="127" t="str">
        <x:v>MCP-US-071</x:v>
      </x:c>
      <x:c r="B75" s="127" t="str">
        <x:v>MCP-EPIC-010</x:v>
      </x:c>
      <x:c r="C75" s="127" t="str">
        <x:v>Physical SN76489 Hardware Adapter</x:v>
      </x:c>
      <x:c r="D75" s="127" t="str">
        <x:v>DSP/Chip Engineer</x:v>
      </x:c>
      <x:c r="E75" s="127" t="str">
        <x:v>Should</x:v>
      </x:c>
      <x:c r="F75" s="127" t="str">
        <x:v>Backlog</x:v>
      </x:c>
      <x:c r="G75" s="127" t="str">
        <x:v>Post-MVP</x:v>
      </x:c>
      <x:c r="H75" s="127" t="str">
        <x:v>Later</x:v>
      </x:c>
      <x:c r="I75" s="127" t="n">
        <x:v>8</x:v>
      </x:c>
      <x:c r="J75" s="127" t="str">
        <x:v>US-017, US-070</x:v>
      </x:c>
      <x:c r="K75" s="127" t="str">
        <x:v>Verified chip identity, levels, clock and bus sequences drive hardware; failures fall back to emulation</x:v>
      </x:c>
      <x:c r="L75" s="127" t="str">
        <x:v>CHATOD-20260714-MCP-CP-MVP-001 / MCP-US-007-ACCEPTANCE-START / MCP-US-071</x:v>
      </x:c>
    </x:row>
    <x:row r="76" ht="52" customHeight="1">
      <x:c r="A76" s="140" t="str">
        <x:v>MCP-US-072</x:v>
      </x:c>
      <x:c r="B76" s="140" t="str">
        <x:v>MCP-EPIC-010</x:v>
      </x:c>
      <x:c r="C76" s="140" t="str">
        <x:v>Physical SID6581 Feasibility And Adapter</x:v>
      </x:c>
      <x:c r="D76" s="140" t="str">
        <x:v>DSP/Chip Engineer</x:v>
      </x:c>
      <x:c r="E76" s="140" t="str">
        <x:v>Should</x:v>
      </x:c>
      <x:c r="F76" s="140" t="str">
        <x:v>Backlog</x:v>
      </x:c>
      <x:c r="G76" s="140" t="str">
        <x:v>Post-MVP</x:v>
      </x:c>
      <x:c r="H76" s="140" t="str">
        <x:v>Later</x:v>
      </x:c>
      <x:c r="I76" s="140" t="n">
        <x:v>13</x:v>
      </x:c>
      <x:c r="J76" s="140" t="str">
        <x:v>US-038, US-070</x:v>
      </x:c>
      <x:c r="K76" s="140" t="str">
        <x:v>Power, levels, clock, register bus and analog output receive a measured go/no-go before implementation</x:v>
      </x:c>
      <x:c r="L76" s="140" t="str">
        <x:v>CHATOD-20260714-MCP-CP-MVP-001 / MCP-US-007-ACCEPTANCE-START / MCP-US-072</x:v>
      </x:c>
    </x:row>
    <x:row r="77" ht="52" customHeight="1">
      <x:c r="A77" s="127" t="str">
        <x:v>MCP-US-073</x:v>
      </x:c>
      <x:c r="B77" s="127" t="str">
        <x:v>MCP-EPIC-010</x:v>
      </x:c>
      <x:c r="C77" s="127" t="str">
        <x:v>ArduinoOPL2 SPI Hardware Adapter</x:v>
      </x:c>
      <x:c r="D77" s="127" t="str">
        <x:v>DSP/Chip Engineer</x:v>
      </x:c>
      <x:c r="E77" s="127" t="str">
        <x:v>Should</x:v>
      </x:c>
      <x:c r="F77" s="127" t="str">
        <x:v>Backlog</x:v>
      </x:c>
      <x:c r="G77" s="127" t="str">
        <x:v>Post-MVP</x:v>
      </x:c>
      <x:c r="H77" s="127" t="str">
        <x:v>Later</x:v>
      </x:c>
      <x:c r="I77" s="127" t="n">
        <x:v>8</x:v>
      </x:c>
      <x:c r="J77" s="127" t="str">
        <x:v>US-041, US-070</x:v>
      </x:c>
      <x:c r="K77" s="127" t="str">
        <x:v>DhrBaksteen SPI contract and license are reviewed and verified by real HIL without coupling bus and emulator logic</x:v>
      </x:c>
      <x:c r="L77" s="127" t="str">
        <x:v>CHATOD-20260714-MCP-CP-MVP-001 / MCP-US-007-ACCEPTANCE-START / MCP-US-073</x:v>
      </x:c>
    </x:row>
    <x:row r="78" ht="52" customHeight="1">
      <x:c r="A78" s="140" t="str">
        <x:v>MCP-US-074</x:v>
      </x:c>
      <x:c r="B78" s="140" t="str">
        <x:v>MCP-EPIC-010</x:v>
      </x:c>
      <x:c r="C78" s="140" t="str">
        <x:v>Emulated Or Physical Core Backend Selection And Fallback</x:v>
      </x:c>
      <x:c r="D78" s="140" t="str">
        <x:v>Solution Architect/DSP</x:v>
      </x:c>
      <x:c r="E78" s="140" t="str">
        <x:v>Should</x:v>
      </x:c>
      <x:c r="F78" s="140" t="str">
        <x:v>Backlog</x:v>
      </x:c>
      <x:c r="G78" s="140" t="str">
        <x:v>Post-MVP</x:v>
      </x:c>
      <x:c r="H78" s="140" t="str">
        <x:v>Later</x:v>
      </x:c>
      <x:c r="I78" s="140" t="n">
        <x:v>8</x:v>
      </x:c>
      <x:c r="J78" s="140" t="str">
        <x:v>US-034, US-070, one physical adapter</x:v>
      </x:c>
      <x:c r="K78" s="140" t="str">
        <x:v>Config/web selects emulated or physical per core; emulation is default/fallback and physical mode avoids duplicate rendering</x:v>
      </x:c>
      <x:c r="L78" s="140" t="str">
        <x:v>CHATOD-20260714-MCP-CP-MVP-001 / MCP-US-007-ACCEPTANCE-START / MCP-US-074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9b78f0adbe424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COUNTIF('Backlog'!$B$5:$B$200,A5)</x:f>
        <x:v>5</x:v>
      </x:c>
      <x:c r="D5" s="64" t="n">
        <x:f>COUNTIFS('Backlog'!$B$5:$B$200,A5,'Backlog'!$E$5:$E$200,"Must")</x:f>
        <x:v>4</x:v>
      </x:c>
      <x:c r="E5" s="64" t="n">
        <x:f>COUNTIFS('Backlog'!$B$5:$B$200,A5,'Backlog'!$F$5:$F$200,"Done")</x:f>
        <x:v>5</x:v>
      </x:c>
      <x:c r="F5" s="23" t="str">
        <x:v>MVP enablers: safe boot, board profile and configuration boundary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COUNTIF('Backlog'!$B$5:$B$200,A6)</x:f>
        <x:v>10</x:v>
      </x:c>
      <x:c r="D6" s="65" t="n">
        <x:f>COUNTIFS('Backlog'!$B$5:$B$200,A6,'Backlog'!$E$5:$E$200,"Must")</x:f>
        <x:v>10</x:v>
      </x:c>
      <x:c r="E6" s="65" t="n">
        <x:f>COUNTIFS('Backlog'!$B$5:$B$200,A6,'Backlog'!$F$5:$F$200,"Done")</x:f>
        <x:v>4</x:v>
      </x:c>
      <x:c r="F6" s="24" t="str">
        <x:v>MVP USB-MIDI/Note semantics; clock, BLE, DIN and guitar expression post-MVP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COUNTIF('Backlog'!$B$5:$B$200,A7)</x:f>
        <x:v>9</x:v>
      </x:c>
      <x:c r="D7" s="65" t="n">
        <x:f>COUNTIFS('Backlog'!$B$5:$B$200,A7,'Backlog'!$E$5:$E$200,"Must")</x:f>
        <x:v>9</x:v>
      </x:c>
      <x:c r="E7" s="65" t="n">
        <x:f>COUNTIFS('Backlog'!$B$5:$B$200,A7,'Backlog'!$F$5:$F$200,"Done")</x:f>
        <x:v>2</x:v>
      </x:c>
      <x:c r="F7" s="24" t="str">
        <x:v>Standalone I2S preflight and D1 first; SN76489/SID/OPL/stereo post-MVP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COUNTIF('Backlog'!$B$5:$B$200,A8)</x:f>
        <x:v>6</x:v>
      </x:c>
      <x:c r="D8" s="65" t="n">
        <x:f>COUNTIFS('Backlog'!$B$5:$B$200,A8,'Backlog'!$E$5:$E$200,"Must")</x:f>
        <x:v>6</x:v>
      </x:c>
      <x:c r="E8" s="65" t="n">
        <x:f>COUNTIFS('Backlog'!$B$5:$B$200,A8,'Backlog'!$F$5:$F$200,"Done")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COUNTIF('Backlog'!$B$5:$B$200,A9)</x:f>
        <x:v>6</x:v>
      </x:c>
      <x:c r="D9" s="65" t="n">
        <x:f>COUNTIFS('Backlog'!$B$5:$B$200,A9,'Backlog'!$E$5:$E$200,"Must")</x:f>
        <x:v>1</x:v>
      </x:c>
      <x:c r="E9" s="65" t="n">
        <x:f>COUNTIFS('Backlog'!$B$5:$B$200,A9,'Backlog'!$F$5:$F$200,"Done")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COUNTIF('Backlog'!$B$5:$B$200,A10)</x:f>
        <x:v>10</x:v>
      </x:c>
      <x:c r="D10" s="65" t="n">
        <x:f>COUNTIFS('Backlog'!$B$5:$B$200,A10,'Backlog'!$E$5:$E$200,"Must")</x:f>
        <x:v>5</x:v>
      </x:c>
      <x:c r="E10" s="65" t="n">
        <x:f>COUNTIFS('Backlog'!$B$5:$B$200,A10,'Backlog'!$F$5:$F$200,"Done")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COUNTIF('Backlog'!$B$5:$B$200,A11)</x:f>
        <x:v>7</x:v>
      </x:c>
      <x:c r="D11" s="65" t="n">
        <x:f>COUNTIFS('Backlog'!$B$5:$B$200,A11,'Backlog'!$E$5:$E$200,"Must")</x:f>
        <x:v>3</x:v>
      </x:c>
      <x:c r="E11" s="65" t="n">
        <x:f>COUNTIFS('Backlog'!$B$5:$B$200,A11,'Backlog'!$F$5:$F$200,"Done")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COUNTIF('Backlog'!$B$5:$B$200,A12)</x:f>
        <x:v>11</x:v>
      </x:c>
      <x:c r="D12" s="66" t="n">
        <x:f>COUNTIFS('Backlog'!$B$5:$B$200,A12,'Backlog'!$E$5:$E$200,"Must")</x:f>
        <x:v>10</x:v>
      </x:c>
      <x:c r="E12" s="66" t="n">
        <x:f>COUNTIFS('Backlog'!$B$5:$B$200,A12,'Backlog'!$F$5:$F$200,"Done")</x:f>
        <x:v>0</x:v>
      </x:c>
      <x:c r="F12" s="25" t="str">
        <x:v>MVP host/HIL and audible Logic acceptance; cross-platform polish post-MVP</x:v>
      </x:c>
    </x:row>
    <x:row r="13" ht="44" customHeight="1">
      <x:c r="A13" s="128" t="str">
        <x:v>MCP-EPIC-009</x:v>
      </x:c>
      <x:c r="B13" s="128" t="str">
        <x:v>Framework Engineering</x:v>
      </x:c>
      <x:c r="C13" s="128" t="n">
        <x:f>COUNTIF('Backlog'!$B$5:$B$200,A13)</x:f>
        <x:v>4</x:v>
      </x:c>
      <x:c r="D13" s="128" t="n">
        <x:f>COUNTIFS('Backlog'!$B$5:$B$200,A13,'Backlog'!$E$5:$E$200,"Must")</x:f>
        <x:v>3</x:v>
      </x:c>
      <x:c r="E13" s="128" t="n">
        <x:f>COUNTIFS('Backlog'!$B$5:$B$200,A13,'Backlog'!$F$5:$F$200,"Done")</x:f>
        <x:v>4</x:v>
      </x:c>
      <x:c r="F13" s="128" t="str">
        <x:v>Vision, architecture, meta model, quality and controlled agent context</x:v>
      </x:c>
    </x:row>
    <x:row r="14" ht="48" customHeight="1">
      <x:c r="A14" s="138" t="str">
        <x:v>MCP-EPIC-010</x:v>
      </x:c>
      <x:c r="B14" s="138" t="str">
        <x:v>Physical Chip And Display Expansion</x:v>
      </x:c>
      <x:c r="C14" s="138" t="n">
        <x:f>COUNTIF('Backlog'!$B$5:$B$200,A14)</x:f>
        <x:v>6</x:v>
      </x:c>
      <x:c r="D14" s="138" t="n">
        <x:f>COUNTIFS('Backlog'!$B$5:$B$200,A14,'Backlog'!$E$5:$E$200,"Must")</x:f>
        <x:v>0</x:v>
      </x:c>
      <x:c r="E14" s="138" t="n">
        <x:f>COUNTIFS('Backlog'!$B$5:$B$200,A14,'Backlog'!$F$5:$F$200,"Done")</x:f>
        <x:v>0</x:v>
      </x:c>
      <x:c r="F14" s="138" t="str">
        <x:v>Post-MVP displays and physical SN76489/SID/OPL2 backends with emulation fallback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6e212193b2814c4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34 geregistreerde risiko's; I2S-profieldrift en langdurige heap/resource-lekke word eksplisiet beheer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exceeds CPU/RAM and affects audio</x:v>
      </x:c>
      <x:c r="C13" s="24" t="str">
        <x:v>High</x:v>
      </x:c>
      <x:c r="D13" s="24" t="str">
        <x:v>High</x:v>
      </x:c>
      <x:c r="E13" s="24" t="str">
        <x:v>DSP/Architect</x:v>
      </x:c>
      <x:c r="F13" s="24" t="str">
        <x:v>Close single-core D1 MVP first; measure each post-MVP multi-core expansion and reject unsafe capacity deterministically</x:v>
      </x:c>
      <x:c r="G13" s="24" t="str">
        <x:v>Post-MVP - risk accepted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Primary ESP32-S2 has no native BLE support</x:v>
      </x:c>
      <x:c r="C27" s="83" t="str">
        <x:v>High</x:v>
      </x:c>
      <x:c r="D27" s="83" t="str">
        <x:v>Medium</x:v>
      </x:c>
      <x:c r="E27" s="83" t="str">
        <x:v>Architect/Embedded</x:v>
      </x:c>
      <x:c r="F27" s="83" t="str">
        <x:v>BLE is post-MVP; capability gate keeps USB stable; later select a BLE-capable board in US-052/062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  <x:row r="34" ht="44" customHeight="1">
      <x:c r="A34" s="126" t="str">
        <x:v>R-030</x:v>
      </x:c>
      <x:c r="B34" s="126" t="str">
        <x:v>USB product names collide or change between boots</x:v>
      </x:c>
      <x:c r="C34" s="126" t="str">
        <x:v>Medium</x:v>
      </x:c>
      <x:c r="D34" s="126" t="str">
        <x:v>High</x:v>
      </x:c>
      <x:c r="E34" s="126" t="str">
        <x:v>Embedded/Release</x:v>
      </x:c>
      <x:c r="F34" s="126" t="str">
        <x:v>Stable non-secret four-character instance ID, collision rule and two-device DAW acceptance in US-068</x:v>
      </x:c>
      <x:c r="G34" s="126" t="str">
        <x:v>Post-MVP - US-068</x:v>
      </x:c>
    </x:row>
    <x:row r="35" ht="48" customHeight="1">
      <x:c r="A35" s="139" t="str">
        <x:v>R-031</x:v>
      </x:c>
      <x:c r="B35" s="139" t="str">
        <x:v>Wrong power, levels, clock or bus sequence damages a rare physical retro chip</x:v>
      </x:c>
      <x:c r="C35" s="139" t="str">
        <x:v>Medium</x:v>
      </x:c>
      <x:c r="D35" s="139" t="str">
        <x:v>Critical</x:v>
      </x:c>
      <x:c r="E35" s="139" t="str">
        <x:v>DSP/Chip/Hardware</x:v>
      </x:c>
      <x:c r="F35" s="139" t="str">
        <x:v>Datasheet and measurement gate, current-limited supply, level shifting and no universal expander assumption</x:v>
      </x:c>
      <x:c r="G35" s="139" t="str">
        <x:v>Later - US-070 to US-073</x:v>
      </x:c>
    </x:row>
    <x:row r="36" ht="48" customHeight="1">
      <x:c r="A36" s="138" t="str">
        <x:v>R-032</x:v>
      </x:c>
      <x:c r="B36" s="138" t="str">
        <x:v>Physical backend is falsely detected, hangs runtime or plays alongside emulation</x:v>
      </x:c>
      <x:c r="C36" s="138" t="str">
        <x:v>Medium</x:v>
      </x:c>
      <x:c r="D36" s="138" t="str">
        <x:v>High</x:v>
      </x:c>
      <x:c r="E36" s="138" t="str">
        <x:v>Architect/Embedded/QA</x:v>
      </x:c>
      <x:c r="F36" s="138" t="str">
        <x:v>Capability probe, timeout, fault injection, safe switch boundary and emulation default/fallback</x:v>
      </x:c>
      <x:c r="G36" s="138" t="str">
        <x:v>Later - US-074</x:v>
      </x:c>
    </x:row>
    <x:row r="37" ht="48" customHeight="1">
      <x:c r="A37" s="143" t="str">
        <x:v>R-033</x:v>
      </x:c>
      <x:c r="B37" s="143" t="str">
        <x:v>Standalone I2S diagnostic drifts from the production AudioOutput profile</x:v>
      </x:c>
      <x:c r="C37" s="143" t="str">
        <x:v>Medium</x:v>
      </x:c>
      <x:c r="D37" s="143" t="str">
        <x:v>High</x:v>
      </x:c>
      <x:c r="E37" s="143" t="str">
        <x:v>Architect/QA/HIL</x:v>
      </x:c>
      <x:c r="F37" s="143" t="str">
        <x:v>Same profile field names, AST/import and frequency tests, paired MAX98357 HIL, no shared synth-runtime import</x:v>
      </x:c>
      <x:c r="G37" s="143" t="str">
        <x:v>Controlled in US-016</x:v>
      </x:c>
    </x:row>
    <x:row r="38" ht="48" customHeight="1">
      <x:c r="A38" s="144" t="str">
        <x:v>R-034</x:v>
      </x:c>
      <x:c r="B38" s="144" t="str">
        <x:v>Long-running heap/resource leak or rare reset is missed by short HIL</x:v>
      </x:c>
      <x:c r="C38" s="144" t="str">
        <x:v>Medium</x:v>
      </x:c>
      <x:c r="D38" s="144" t="str">
        <x:v>High</x:v>
      </x:c>
      <x:c r="E38" s="144" t="str">
        <x:v>QA/HIL/Embedded</x:v>
      </x:c>
      <x:c r="F38" s="144" t="str">
        <x:v>30m/8h/12h/24h burn-in profiles, 4096-byte/5% heap boundary, cleanup/reset/dropout telemetry</x:v>
      </x:c>
      <x:c r="G38" s="144" t="str">
        <x:v>Controlled in US-016/051/055/057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1337264f204be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CEA bewaak coherence; Copilot adviseer;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48" customHeight="1">
      <x:c r="A5" s="132" t="str">
        <x:v>Sales/Discovery</x:v>
      </x:c>
      <x:c r="B5" s="132" t="str">
        <x:v>Waarde, gebruiker, begroting</x:v>
      </x:c>
      <x:c r="C5" s="132" t="str">
        <x:v>Waardehipotese en demo-uitkoms</x:v>
      </x:c>
    </x:row>
    <x:row r="6" ht="48" customHeight="1">
      <x:c r="A6" s="133" t="str">
        <x:v>Business Analyst</x:v>
      </x:c>
      <x:c r="B6" s="133" t="str">
        <x:v>Vloei, omvang, aannames</x:v>
      </x:c>
      <x:c r="C6" s="133" t="str">
        <x:v>Story, kriteria en nie-doelwitte</x:v>
      </x:c>
    </x:row>
    <x:row r="7" ht="48" customHeight="1">
      <x:c r="A7" s="134" t="str">
        <x:v>Product Owner</x:v>
      </x:c>
      <x:c r="B7" s="134" t="str">
        <x:v>Prioriteit en aanvaarding</x:v>
      </x:c>
      <x:c r="C7" s="134" t="str">
        <x:v>Ready/accept/reject</x:v>
      </x:c>
    </x:row>
    <x:row r="8" ht="48" customHeight="1">
      <x:c r="A8" s="133" t="str">
        <x:v>Scrum Master</x:v>
      </x:c>
      <x:c r="B8" s="133" t="str">
        <x:v>Volgorde en impediments</x:v>
      </x:c>
      <x:c r="C8" s="133" t="str">
        <x:v>Now/Next/Later en blocker</x:v>
      </x:c>
    </x:row>
    <x:row r="9" ht="48" customHeight="1">
      <x:c r="A9" s="134" t="str">
        <x:v>Chief Enterprise Architect</x:v>
      </x:c>
      <x:c r="B9" s="134" t="str">
        <x:v>Visie, vermoens, meta model en cross-epic coherence</x:v>
      </x:c>
      <x:c r="C9" s="134" t="str">
        <x:v>Fitness teen visie en artefakgesag</x:v>
      </x:c>
    </x:row>
    <x:row r="10" ht="48" customHeight="1">
      <x:c r="A10" s="133" t="str">
        <x:v>Framework Engineer</x:v>
      </x:c>
      <x:c r="B10" s="133" t="str">
        <x:v>Konteks, taxonomy, review en kennisvloei</x:v>
      </x:c>
      <x:c r="C10" s="133" t="str">
        <x:v>Minimale storypakket en framework sanity</x:v>
      </x:c>
    </x:row>
    <x:row r="11" ht="48" customHeight="1">
      <x:c r="A11" s="134" t="str">
        <x:v>Solution Architect</x:v>
      </x:c>
      <x:c r="B11" s="134" t="str">
        <x:v>Poorte, ADR en portabiliteit</x:v>
      </x:c>
      <x:c r="C11" s="134" t="str">
        <x:v>Ontwerpresensie en trade-off</x:v>
      </x:c>
    </x:row>
    <x:row r="12" ht="48" customHeight="1">
      <x:c r="A12" s="133" t="str">
        <x:v>Embedded Engineer</x:v>
      </x:c>
      <x:c r="B12" s="133" t="str">
        <x:v>Boot, bord, penne, geheue</x:v>
      </x:c>
      <x:c r="C12" s="133" t="str">
        <x:v>Bordimpak en herstelpad</x:v>
      </x:c>
    </x:row>
    <x:row r="13" ht="48" customHeight="1">
      <x:c r="A13" s="134" t="str">
        <x:v>MIDI Engineer</x:v>
      </x:c>
      <x:c r="B13" s="134" t="str">
        <x:v>MIDI, kanale, clock, controls</x:v>
      </x:c>
      <x:c r="C13" s="134" t="str">
        <x:v>Kontrakte en randgevalle</x:v>
      </x:c>
    </x:row>
    <x:row r="14" ht="48" customHeight="1">
      <x:c r="A14" s="133" t="str">
        <x:v>DSP/Chip Engineer</x:v>
      </x:c>
      <x:c r="B14" s="133" t="str">
        <x:v>Kern, voices, audio, DSP</x:v>
      </x:c>
      <x:c r="C14" s="133" t="str">
        <x:v>CPU/RAM/latensie/akkuraatheid</x:v>
      </x:c>
    </x:row>
    <x:row r="15" ht="48" customHeight="1">
      <x:c r="A15" s="135" t="str">
        <x:v>Web Engineer</x:v>
      </x:c>
      <x:c r="B15" s="135" t="str">
        <x:v>Plaaslike UI en scheduling</x:v>
      </x:c>
      <x:c r="C15" s="135" t="str">
        <x:v>UI-vloei en bronimpak</x:v>
      </x:c>
    </x:row>
    <x:row r="16" ht="48" customHeight="1">
      <x:c r="A16" s="127" t="str">
        <x:v>QA/HIL Engineer</x:v>
      </x:c>
      <x:c r="B16" s="127" t="str">
        <x:v>Rooi/groen en instrumentmeting</x:v>
      </x:c>
      <x:c r="C16" s="127" t="str">
        <x:v>Toetsmatriks en bewys</x:v>
      </x:c>
    </x:row>
    <x:row r="17" ht="48" customHeight="1">
      <x:c r="A17" s="136" t="str">
        <x:v>Release/Documentation</x:v>
      </x:c>
      <x:c r="B17" s="136" t="str">
        <x:v>Git, installasie en traceability</x:v>
      </x:c>
      <x:c r="C17" s="136" t="str">
        <x:v>Publikasiehek en docs</x:v>
      </x:c>
    </x:row>
    <x:row r="18" ht="48" customHeight="1">
      <x:c r="A18" s="127" t="str">
        <x:v>External Architecture Reviewer (Copilot)</x:v>
      </x:c>
      <x:c r="B18" s="127" t="str">
        <x:v>Onafhanklike ontwerp- en risiko-review</x:v>
      </x:c>
      <x:c r="C18" s="127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08500c26c7c84ce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  <x:row r="35" ht="44" customHeight="1">
      <x:c r="A35" s="137" t="str">
        <x:v>DhrBaksteen ArduinoOPL2</x:v>
      </x:c>
      <x:c r="B35" s="137" t="str">
        <x:v>Later OPL2 SPI contract, license and HIL</x:v>
      </x:c>
      <x:c r="C35" s="137" t="str">
        <x:v>User-provided source</x:v>
      </x:c>
      <x:c r="D35" s="137" t="str">
        <x:v>https://github.com/DhrBaksteen/ArduinoOPL2/tree/master/src</x:v>
      </x:c>
    </x:row>
    <x:row r="36" ht="44" customHeight="1">
      <x:c r="A36" s="138" t="str">
        <x:v>Malvineous pyopl</x:v>
      </x:c>
      <x:c r="B36" s="138" t="str">
        <x:v>Later OPL2 behavior and test reference</x:v>
      </x:c>
      <x:c r="C36" s="138" t="str">
        <x:v>User-provided source</x:v>
      </x:c>
      <x:c r="D36" s="138" t="str">
        <x:v>https://github.com/Malvineous/pyopl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04c87d7be0b4ad4"/>
  </x:tableParts>
</x:worksheet>
</file>
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3fabeade6c49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d292bd1b0d34ff6"/>
    <x:sheet xmlns:r="http://schemas.openxmlformats.org/officeDocument/2006/relationships" name="Backlog" sheetId="2" r:id="R1dc3137240c74cd3"/>
    <x:sheet xmlns:r="http://schemas.openxmlformats.org/officeDocument/2006/relationships" name="Epics" sheetId="3" r:id="Rb25454baa12a4200"/>
    <x:sheet xmlns:r="http://schemas.openxmlformats.org/officeDocument/2006/relationships" name="Risks" sheetId="4" r:id="R7e67d74462ca4c64"/>
    <x:sheet xmlns:r="http://schemas.openxmlformats.org/officeDocument/2006/relationships" name="Team RACI" sheetId="5" r:id="R8752afc1984a49e1"/>
    <x:sheet xmlns:r="http://schemas.openxmlformats.org/officeDocument/2006/relationships" name="Sources" sheetId="6" r:id="R3c4441397e6347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097cc5a5444735" /><Relationship Type="http://schemas.openxmlformats.org/officeDocument/2006/relationships/theme" Target="/xl/theme/theme1.xml" Id="R04bfdce2e1ea4e69" /><Relationship Type="http://schemas.openxmlformats.org/officeDocument/2006/relationships/sharedStrings" Target="/xl/sharedStrings.xml" Id="R3634a4a74df8468b" /><Relationship Type="http://schemas.openxmlformats.org/officeDocument/2006/relationships/worksheet" Target="/xl/worksheets/sheet1.xml" Id="R9d292bd1b0d34ff6" /><Relationship Type="http://schemas.openxmlformats.org/officeDocument/2006/relationships/worksheet" Target="/xl/worksheets/sheet2.xml" Id="R1dc3137240c74cd3" /><Relationship Type="http://schemas.openxmlformats.org/officeDocument/2006/relationships/worksheet" Target="/xl/worksheets/sheet3.xml" Id="Rb25454baa12a4200" /><Relationship Type="http://schemas.openxmlformats.org/officeDocument/2006/relationships/worksheet" Target="/xl/worksheets/sheet4.xml" Id="R7e67d74462ca4c64" /><Relationship Type="http://schemas.openxmlformats.org/officeDocument/2006/relationships/worksheet" Target="/xl/worksheets/sheet5.xml" Id="R8752afc1984a49e1" /><Relationship Type="http://schemas.openxmlformats.org/officeDocument/2006/relationships/worksheet" Target="/xl/worksheets/sheet6.xml" Id="R3c4441397e634794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083a7b99b9745e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1a3cad393ab453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0a9fc3549ba424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c4ed2ba3f8445c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93448a5ac6449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3 | scope v0.28.0 | runtime v0.17.0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v>76</x:v>
      </x:c>
      <x:c r="C5" s="85"/>
      <x:c r="D5" s="110" t="str">
        <x:v>1. US-075 PO-uitzondering aanvaar; geen produksie-veiligheidsclaim</x:v>
      </x:c>
      <x:c r="E5" s="110"/>
      <x:c r="F5" s="110"/>
      <x:c r="G5" s="110"/>
      <x:c r="H5" s="110"/>
    </x:row>
    <x:row r="6">
      <x:c r="A6" s="111" t="str">
        <x:v>Done</x:v>
      </x:c>
      <x:c r="B6" s="114" t="n">
        <x:v>17</x:v>
      </x:c>
      <x:c r="C6" s="85"/>
      <x:c r="D6" s="111" t="str">
        <x:v>2. US-055 v0.17.0 hostgroen: USB-MIDI -&gt; D1 -&gt; veilige I2S</x:v>
      </x:c>
      <x:c r="E6" s="111"/>
      <x:c r="F6" s="111"/>
      <x:c r="G6" s="111"/>
      <x:c r="H6" s="111"/>
    </x:row>
    <x:row r="7">
      <x:c r="A7" s="111" t="str">
        <x:v>In Review</x:v>
      </x:c>
      <x:c r="B7" s="114" t="n">
        <x:v>2</x:v>
      </x:c>
      <x:c r="C7" s="85"/>
      <x:c r="D7" s="111" t="str">
        <x:v>3. Product Owner HIL: Logic External MIDI na S2 Mini moet D1 hoorbaar speel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v>17</x:v>
      </x:c>
      <x:c r="C8" s="85"/>
      <x:c r="D8" s="112" t="str">
        <x:v>4. US-057 volg ná US-055 vir end-to-end MVP burn-in/acceptance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/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125 tests GREEN | US-055 IN REVIEW | Logic HIL needed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v0.28.0 | 76 stories | US-055 In Review for Logic/HIL acceptance</x:v>
      </x:c>
      <x:c r="B2"/>
      <x:c r="C2"/>
      <x:c r="D2"/>
      <x:c r="E2"/>
      <x:c r="F2"/>
      <x:c r="G2"/>
      <x:c r="H2"/>
      <x:c r="I2"/>
      <x:c r="J2"/>
      <x:c r="K2"/>
      <x:c r="L2"/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Done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PASS 2026-07-16: Wemos S2/MAX98357A played audible mono G3-C4-D4; serial notes=3, heap 2056512-&gt;2056192, 103 host tests; long burn-in tracked by US-051/US-057</x:v>
      </x:c>
      <x:c r="L20" s="24" t="str">
        <x:v>CHATOD-20260714-MCP-CP-MVP-001 / MCP-US-016-HIL-PASS-001 / v0.14.0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Power, Safe Volume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MCP-US-021, MCP-US-075</x:v>
      </x:c>
      <x:c r="K51" s="24" t="str">
        <x:v>Power, speaker/headphone/line-out boundaries, gain or attenuation, mute, filtering, ESD and polarity protection are breadboarded and measured at documented safe test points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Pedal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Hardware Engineer and experienced KiCad Product Owner deliver schematic, PCB, footprints, test points and BOM; ERC, DRC, bring-up and manufacturing outputs pass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In Review</x:v>
      </x:c>
      <x:c r="G59" s="24" t="str">
        <x:v>Sprint 3</x:v>
      </x:c>
      <x:c r="H59" s="24" t="str">
        <x:v>MVP-Must (In Review)</x:v>
      </x:c>
      <x:c r="I59" s="65" t="n">
        <x:v>5</x:v>
      </x:c>
      <x:c r="J59" s="24" t="str">
        <x:v>US-003, US-007, US-009, US-014, US-016, US-063, US-075</x:v>
      </x:c>
      <x:c r="K59" s="24" t="str">
        <x:v>v0.17.0 verbind USB-MIDI, D1 en veilige I2S; 125 hosttoetse slaag; wag op Logic/HIL hoorbaarheid</x:v>
      </x:c>
      <x:c r="L59" s="24" t="str">
        <x:v>CHATOD-20260714-MCP-CP-MVP-001 / MCP-US-055-START / v0.17.0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US-063, US-075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Done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Product Owner accepted v0.15.0 d1-diagnose: sine, saw and square, A4=440Hz, velocity and final PASS; audible Logic/I2S remains US-055 after US-075</x:v>
      </x:c>
      <x:c r="L67" s="83" t="str">
        <x:v>CHATOD-20260714-MCP-CP-MVP-001 / MCP-US-063-HOST-ACCEPTED-001 / v0.15.0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  <x:row r="79">
      <x:c r="A79" t="str">
        <x:v>MCP-US-075</x:v>
      </x:c>
      <x:c r="B79" t="str">
        <x:v>MCP-EPIC-007</x:v>
      </x:c>
      <x:c r="C79" t="str">
        <x:v>Safe Development Audio Load And Volume Gate</x:v>
      </x:c>
      <x:c r="D79" t="str">
        <x:v>Hardware/DSP</x:v>
      </x:c>
      <x:c r="E79" t="str">
        <x:v>Must</x:v>
      </x:c>
      <x:c r="F79" t="str">
        <x:v>Done</x:v>
      </x:c>
      <x:c r="G79" t="str">
        <x:v>Sprint 3</x:v>
      </x:c>
      <x:c r="H79" t="str">
        <x:v>MVP-Enabler (Done; PO exception)</x:v>
      </x:c>
      <x:c r="I79" t="n">
        <x:v>5</x:v>
      </x:c>
      <x:c r="J79" t="str">
        <x:v>US-016</x:v>
      </x:c>
      <x:c r="K79" t="str">
        <x:v>HIL: G-C-D hoorbaar via MAX98357A; PO aanvaar cheap TRS-headphone prototype risk; no production safety claim</x:v>
      </x:c>
      <x:c r="L79" t="str">
        <x:v>CHATOD-20260714-MCP-CP-MVP-001 / MCP-US-075-PO-EXCEPTION-ACCEPTED</x:v>
      </x:c>
    </x:row>
    <x:row r="80">
      <x:c r="A80" t="str">
        <x:v>MCP-US-076</x:v>
      </x:c>
      <x:c r="B80" t="str">
        <x:v>MCP-EPIC-007</x:v>
      </x:c>
      <x:c r="C80" t="str">
        <x:v>Certified Speaker, Headphone And Pedal Output Cleanup</x:v>
      </x:c>
      <x:c r="D80" t="str">
        <x:v>Hardware/DSP</x:v>
      </x:c>
      <x:c r="E80" t="str">
        <x:v>Should</x:v>
      </x:c>
      <x:c r="F80" t="str">
        <x:v>Backlog</x:v>
      </x:c>
      <x:c r="G80" t="str">
        <x:v>Post-MVP</x:v>
      </x:c>
      <x:c r="H80" t="str">
        <x:v>Later</x:v>
      </x:c>
      <x:c r="I80" t="n">
        <x:v>8</x:v>
      </x:c>
      <x:c r="J80" t="str">
        <x:v>US-047, US-075</x:v>
      </x:c>
      <x:c r="K80" t="str">
        <x:v>Gescheiden speaker/headphone/line-out ontwerp, load profiles, volume hardware en KiCad guidance zijn gevalideerd</x:v>
      </x:c>
      <x:c r="L80" t="str">
        <x:v>CHATOD-20260714-MCP-CP-MVP-001 / MCP-US-075-PO-EXCEPTION-ACCEPTED / MCP-US-076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83a7b99b9745e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3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v>8</x:v>
      </x:c>
      <x:c r="D11" s="65" t="n">
        <x:v>4</x:v>
      </x:c>
      <x:c r="E11" s="65" t="n">
        <x:f>COUNTIFS('Backlog'!$B$5:$B$200,A11,'Backlog'!$F$5:$F$200,"Done")</x:f>
        <x:v>1</x:v>
      </x:c>
      <x:c r="F11" s="24" t="str">
        <x:v>Safe audio load and volume gate first; pedal power, protection, enclosure and KiCad hardware follow after MVP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1a3cad393ab453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Directe TRS/headphone of verkeerde load kan MAX98357A, koptelefoon of gehoor beschadigen</x:v>
      </x:c>
      <x:c r="C17" s="24" t="str">
        <x:v>Hoog</x:v>
      </x:c>
      <x:c r="D17" s="24" t="str">
        <x:v>Middel</x:v>
      </x:c>
      <x:c r="E17" s="24" t="str">
        <x:v>US-075 begrenst amplitude/software-startup; PO accepteert prototype met goedkope TRS-koptelefoon. Productieclaim blijft verboden tot US-076.</x:v>
      </x:c>
      <x:c r="F17" s="24" t="str">
        <x:v>Aanvaard voor prototype; US-076 cleanup</x:v>
      </x:c>
      <x:c r="G17" s="24" t="str">
        <x:v>CHATOD-20260714-MCP-CP-MVP-001 / MCP-US-075-PO-EXCEPTION-ACCEPTED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a9fc3549ba424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fc4ed2ba3f8445c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  <x:row r="37">
      <x:c r="A37" t="str">
        <x:v>2026-07-16</x:v>
      </x:c>
      <x:c r="B37" t="str">
        <x:v>PO exception / HIL evidence</x:v>
      </x:c>
      <x:c r="C37" t="str">
        <x:v>US-075 hoorbare G-C-D via MAX98357A met goedkope TRS-koptelefoon; risico bewust geaccepteerd</x:v>
      </x:c>
      <x:c r="D37" t="str">
        <x:v>CHATOD-20260714-MCP-CP-MVP-001 / MCP-US-075-HIL-SOFTWARE-PASS</x:v>
      </x:c>
    </x:row>
    <x:row r="38">
      <x:c r="A38" t="str">
        <x:v>2026-07-16</x:v>
      </x:c>
      <x:c r="B38" t="str">
        <x:v>US-055 host evidence</x:v>
      </x:c>
      <x:c r="C38" t="str">
        <x:v>v0.17.0 adds D1UsbMidiI2sRuntime and CircuitPythonI2sAudioOutput; 125 pytest tests pass</x:v>
      </x:c>
      <x:c r="D38" t="str">
        <x:v>CHATOD-20260714-MCP-CP-MVP-001 / MCP-US-055-START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93448a5ac64499e"/>
  </x:tableParts>
</x:worksheet>
</file>
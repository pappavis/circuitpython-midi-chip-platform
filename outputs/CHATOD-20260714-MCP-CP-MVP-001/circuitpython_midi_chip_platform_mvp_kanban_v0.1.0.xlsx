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c73e46d15548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1ef64c7c08b4bda"/>
    <x:sheet xmlns:r="http://schemas.openxmlformats.org/officeDocument/2006/relationships" name="Backlog" sheetId="2" r:id="Rab88813820454820"/>
    <x:sheet xmlns:r="http://schemas.openxmlformats.org/officeDocument/2006/relationships" name="Epics" sheetId="3" r:id="R9fcecd959b234576"/>
    <x:sheet xmlns:r="http://schemas.openxmlformats.org/officeDocument/2006/relationships" name="Risks" sheetId="4" r:id="R596f8fa4eee0486e"/>
    <x:sheet xmlns:r="http://schemas.openxmlformats.org/officeDocument/2006/relationships" name="Team RACI" sheetId="5" r:id="R3ff641c0b2544368"/>
    <x:sheet xmlns:r="http://schemas.openxmlformats.org/officeDocument/2006/relationships" name="Sources" sheetId="6" r:id="R95b8de5c467d49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db359fcf8a494e" /><Relationship Type="http://schemas.openxmlformats.org/officeDocument/2006/relationships/theme" Target="/xl/theme/theme1.xml" Id="Rb23a247a1a8e431d" /><Relationship Type="http://schemas.openxmlformats.org/officeDocument/2006/relationships/sharedStrings" Target="/xl/sharedStrings.xml" Id="R2b18fbded0654c4c" /><Relationship Type="http://schemas.openxmlformats.org/officeDocument/2006/relationships/worksheet" Target="/xl/worksheets/sheet1.xml" Id="Ra1ef64c7c08b4bda" /><Relationship Type="http://schemas.openxmlformats.org/officeDocument/2006/relationships/worksheet" Target="/xl/worksheets/sheet2.xml" Id="Rab88813820454820" /><Relationship Type="http://schemas.openxmlformats.org/officeDocument/2006/relationships/worksheet" Target="/xl/worksheets/sheet3.xml" Id="R9fcecd959b234576" /><Relationship Type="http://schemas.openxmlformats.org/officeDocument/2006/relationships/worksheet" Target="/xl/worksheets/sheet4.xml" Id="R596f8fa4eee0486e" /><Relationship Type="http://schemas.openxmlformats.org/officeDocument/2006/relationships/worksheet" Target="/xl/worksheets/sheet5.xml" Id="R3ff641c0b2544368" /><Relationship Type="http://schemas.openxmlformats.org/officeDocument/2006/relationships/worksheet" Target="/xl/worksheets/sheet6.xml" Id="R95b8de5c467d49d3" /></Relationships>
</file>

<file path=xl/tables/table1.xml><?xml version="1.0" encoding="utf-8"?>
<x:table xmlns:x="http://schemas.openxmlformats.org/spreadsheetml/2006/main" id="1" name="BacklogTable" displayName="BacklogTable" ref="A4:L65" headerRowCount="1" totalsRowCount="0" totalsRowShown="0">
  <x:autoFilter ref="A4:L65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26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21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104f2338ed64c8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2f3f5c6ad854c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b43652cb5f647c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889003f50674b1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a00e1868f7f4e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50" t="str">
        <x:v>MIDI Chip Platform - MVP Kanban</x:v>
      </x:c>
      <x:c r="B1" s="51"/>
      <x:c r="C1" s="51"/>
      <x:c r="D1" s="51"/>
      <x:c r="E1" s="51"/>
      <x:c r="F1" s="51"/>
      <x:c r="G1" s="51"/>
      <x:c r="H1" s="51"/>
    </x:row>
    <x:row r="2" ht="28" customHeight="1">
      <x:c r="A2" s="52" t="str">
        <x:v>Sprint 1 | v0.2.0 | CHATOD-20260714-MCP-CP-MVP-001</x:v>
      </x:c>
      <x:c r="B2" s="51"/>
      <x:c r="C2" s="51"/>
      <x:c r="D2" s="51"/>
      <x:c r="E2" s="51"/>
      <x:c r="F2" s="51"/>
      <x:c r="G2" s="51"/>
      <x:c r="H2" s="51"/>
    </x:row>
    <x:row r="3">
      <x:c r="A3" s="51"/>
      <x:c r="B3" s="51"/>
      <x:c r="C3" s="51"/>
      <x:c r="D3" s="51"/>
      <x:c r="E3" s="51"/>
      <x:c r="F3" s="51"/>
      <x:c r="G3" s="51"/>
      <x:c r="H3" s="51"/>
    </x:row>
    <x:row r="4" ht="28" customHeight="1">
      <x:c r="A4" s="53" t="str">
        <x:v>Metriek</x:v>
      </x:c>
      <x:c r="B4" s="54" t="str">
        <x:v>Waarde</x:v>
      </x:c>
      <x:c r="C4" s="51"/>
      <x:c r="D4" s="53" t="str">
        <x:v>MVP-besluithekke</x:v>
      </x:c>
      <x:c r="E4" s="55"/>
      <x:c r="F4" s="55"/>
      <x:c r="G4" s="55"/>
      <x:c r="H4" s="54"/>
    </x:row>
    <x:row r="5">
      <x:c r="A5" s="56" t="str">
        <x:v>Totale stories</x:v>
      </x:c>
      <x:c r="B5" s="57" t="n">
        <x:f>COUNTA('Backlog'!$A$5:$A$65)</x:f>
        <x:v>61</x:v>
      </x:c>
      <x:c r="C5" s="51"/>
      <x:c r="D5" s="56" t="str">
        <x:v>1. Veilige minimale USB-MIDI boot en herstel</x:v>
      </x:c>
      <x:c r="E5" s="56"/>
      <x:c r="F5" s="56"/>
      <x:c r="G5" s="56"/>
      <x:c r="H5" s="56"/>
    </x:row>
    <x:row r="6">
      <x:c r="A6" s="58" t="str">
        <x:v>Done</x:v>
      </x:c>
      <x:c r="B6" s="59" t="n">
        <x:f>COUNTIF('Backlog'!$F$5:$F$65,"Done")</x:f>
        <x:v>2</x:v>
      </x:c>
      <x:c r="C6" s="51"/>
      <x:c r="D6" s="58" t="str">
        <x:v>2. MAX98357 mono-I2S eerste; PWM fallback</x:v>
      </x:c>
      <x:c r="E6" s="58"/>
      <x:c r="F6" s="58"/>
      <x:c r="G6" s="58"/>
      <x:c r="H6" s="58"/>
    </x:row>
    <x:row r="7">
      <x:c r="A7" s="58" t="str">
        <x:v>In Progress</x:v>
      </x:c>
      <x:c r="B7" s="59" t="n">
        <x:f>COUNTIF('Backlog'!$F$5:$F$65,"In Progress")</x:f>
        <x:v>1</x:v>
      </x:c>
      <x:c r="C7" s="51"/>
      <x:c r="D7" s="58" t="str">
        <x:v>3. Standalone host/DIN-transport moet sonder DAW slaag</x:v>
      </x:c>
      <x:c r="E7" s="58"/>
      <x:c r="F7" s="58"/>
      <x:c r="G7" s="58"/>
      <x:c r="H7" s="58"/>
    </x:row>
    <x:row r="8">
      <x:c r="A8" s="58" t="str">
        <x:v>MVP-gemerk</x:v>
      </x:c>
      <x:c r="B8" s="59" t="n">
        <x:f>COUNTIF('Backlog'!$E$5:$E$65,"Must")</x:f>
        <x:v>44</x:v>
      </x:c>
      <x:c r="C8" s="51"/>
      <x:c r="D8" s="60" t="str">
        <x:v>4. Twee verskillende kerne eers na een-kern-bewys en resource gate</x:v>
      </x:c>
      <x:c r="E8" s="60"/>
      <x:c r="F8" s="60"/>
      <x:c r="G8" s="60"/>
      <x:c r="H8" s="60"/>
    </x:row>
    <x:row r="9">
      <x:c r="A9" s="58" t="str">
        <x:v>Oop risiko’s</x:v>
      </x:c>
      <x:c r="B9" s="59" t="n">
        <x:f>COUNTIF('Risks'!$G$5:$G$26,"&lt;&gt;Closed")</x:f>
        <x:v>22</x:v>
      </x:c>
      <x:c r="C9" s="51"/>
      <x:c r="D9" s="51"/>
      <x:c r="E9" s="51"/>
      <x:c r="F9" s="51"/>
      <x:c r="G9" s="51"/>
      <x:c r="H9" s="51"/>
    </x:row>
    <x:row r="10">
      <x:c r="A10" s="60" t="str">
        <x:v>Virtuele rolle</x:v>
      </x:c>
      <x:c r="B10" s="61" t="n">
        <x:f>COUNTA('Team RACI'!$A$5:$A$16)</x:f>
        <x:v>12</x:v>
      </x:c>
      <x:c r="C10" s="51"/>
      <x:c r="D10" s="51"/>
      <x:c r="E10" s="51"/>
      <x:c r="F10" s="51"/>
      <x:c r="G10" s="51"/>
      <x:c r="H10" s="51"/>
    </x:row>
    <x:row r="11">
      <x:c r="A11" s="51"/>
      <x:c r="B11" s="51"/>
      <x:c r="C11" s="51"/>
      <x:c r="D11" s="51"/>
      <x:c r="E11" s="51"/>
      <x:c r="F11" s="51"/>
      <x:c r="G11" s="51"/>
      <x:c r="H11" s="51"/>
    </x:row>
    <x:row r="12">
      <x:c r="A12" s="51"/>
      <x:c r="B12" s="51"/>
      <x:c r="C12" s="51"/>
      <x:c r="D12" s="51"/>
      <x:c r="E12" s="51"/>
      <x:c r="F12" s="51"/>
      <x:c r="G12" s="51"/>
      <x:c r="H12" s="51"/>
    </x:row>
    <x:row r="13" ht="30" customHeight="1">
      <x:c r="A13" s="62" t="str">
        <x:v>Aktiewe story: MCP-US-003 Minimal Safe Boot And USB Profile | HIL proof volg</x:v>
      </x:c>
      <x:c r="B13" s="51"/>
      <x:c r="C13" s="51"/>
      <x:c r="D13" s="51"/>
      <x:c r="E13" s="51"/>
      <x:c r="F13" s="51"/>
      <x:c r="G13" s="51"/>
      <x:c r="H13" s="51"/>
    </x:row>
    <x:row r="14">
      <x:c r="A14" s="51"/>
      <x:c r="B14" s="51"/>
      <x:c r="C14" s="51"/>
      <x:c r="D14" s="51"/>
      <x:c r="E14" s="51"/>
      <x:c r="F14" s="51"/>
      <x:c r="G14" s="51"/>
      <x:c r="H14" s="51"/>
    </x:row>
    <x:row r="15" ht="58" customHeight="1">
      <x:c r="A15" s="63" t="str">
        <x:v>Product Owner note: hierdie workbook is die redigeerbare Kanban-artefak. Die Markdown story-katalogus bly die leesbare repository-weergawe. Werk begin eers ná story-plan-goedkeuring.</x:v>
      </x:c>
      <x:c r="B15" s="51"/>
      <x:c r="C15" s="51"/>
      <x:c r="D15" s="51"/>
      <x:c r="E15" s="51"/>
      <x:c r="F15" s="51"/>
      <x:c r="G15" s="51"/>
      <x:c r="H15" s="51"/>
    </x:row>
    <x:row r="16">
      <x:c r="A16" s="51"/>
      <x:c r="B16" s="51"/>
      <x:c r="C16" s="51"/>
      <x:c r="D16" s="51"/>
      <x:c r="E16" s="51"/>
      <x:c r="F16" s="51"/>
      <x:c r="G16" s="51"/>
      <x:c r="H16" s="51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61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In Progress</x:v>
      </x:c>
      <x:c r="G7" s="24" t="str">
        <x:v>Sprint 1</x:v>
      </x:c>
      <x:c r="H7" s="24" t="str">
        <x:v>In Progress/MVP</x:v>
      </x:c>
      <x:c r="I7" s="65" t="n">
        <x:v>8</x:v>
      </x:c>
      <x:c r="J7" s="24" t="str">
        <x:v>US-002</x:v>
      </x:c>
      <x:c r="K7" s="24" t="str">
        <x:v>USB-MIDI begin voor runtime; bord-VID/PID bly verstek; CIRCUITPY/REPL herstel en drieledige device-proof slaag</x:v>
      </x:c>
      <x:c r="L7" s="24" t="str">
        <x:v>CHATOD-20260714-MCP-CP-MVP-001 / MCP-US-003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Backlog</x:v>
      </x:c>
      <x:c r="G8" s="24" t="str">
        <x:v>Sprint 1</x:v>
      </x:c>
      <x:c r="H8" s="24" t="str">
        <x:v>MVP</x:v>
      </x:c>
      <x:c r="I8" s="65" t="n">
        <x:v>5</x:v>
      </x:c>
      <x:c r="J8" s="24" t="str">
        <x:v>US-002</x:v>
      </x:c>
      <x:c r="K8" s="24" t="str">
        <x:v>Bordprofiel rapporteer penne, modules, geheue en ondersteunde klankbackends</x:v>
      </x:c>
      <x:c r="L8" s="24" t="str">
        <x:v>CHATOD-20260714-MCP-CP-MVP-001 / MCP-US-004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Backlog</x:v>
      </x:c>
      <x:c r="G9" s="24" t="str">
        <x:v>Sprint 1</x:v>
      </x:c>
      <x:c r="H9" s="24" t="str">
        <x:v>MVP</x:v>
      </x:c>
      <x:c r="I9" s="65" t="n">
        <x:v>5</x:v>
      </x:c>
      <x:c r="J9" s="24" t="str">
        <x:v>US-003</x:v>
      </x:c>
      <x:c r="K9" s="24" t="str">
        <x:v>Publieke verstekke en private `settings.toml` werk; geheime-lektoets is groen</x:v>
      </x:c>
      <x:c r="L9" s="24" t="str">
        <x:v>CHATOD-20260714-MCP-CP-MVP-001 / MCP-US-005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Backlog</x:v>
      </x:c>
      <x:c r="G10" s="24" t="str">
        <x:v>Sprint 2</x:v>
      </x:c>
      <x:c r="H10" s="24" t="str">
        <x:v>MVP</x:v>
      </x:c>
      <x:c r="I10" s="65" t="n">
        <x:v>5</x:v>
      </x:c>
      <x:c r="J10" s="24" t="str">
        <x:v>US-002</x:v>
      </x:c>
      <x:c r="K10" s="24" t="str">
        <x:v>Note, CC, bend en klokboodskappe het platform-onafhanklike klasse</x:v>
      </x:c>
      <x:c r="L10" s="24" t="str">
        <x:v>CHATOD-20260714-MCP-CP-MVP-001 / MCP-US-006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Backlog</x:v>
      </x:c>
      <x:c r="G11" s="24" t="str">
        <x:v>Sprint 2</x:v>
      </x:c>
      <x:c r="H11" s="24" t="str">
        <x:v>MVP</x:v>
      </x:c>
      <x:c r="I11" s="65" t="n">
        <x:v>5</x:v>
      </x:c>
      <x:c r="J11" s="24" t="str">
        <x:v>US-003, US-006</x:v>
      </x:c>
      <x:c r="K11" s="24" t="str">
        <x:v>Enige klas-kompatibele bron kan via 'n rekenaar/DAW of eksterne USB-host Note On/Off stuur sonder toestelnaamkonstante</x:v>
      </x:c>
      <x:c r="L11" s="24" t="str">
        <x:v>CHATOD-20260714-MCP-CP-MVP-001 / MCP-US-007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Backlog</x:v>
      </x:c>
      <x:c r="G12" s="24" t="str">
        <x:v>Sprint 2</x:v>
      </x:c>
      <x:c r="H12" s="24" t="str">
        <x:v>MVP</x:v>
      </x:c>
      <x:c r="I12" s="65" t="n">
        <x:v>5</x:v>
      </x:c>
      <x:c r="J12" s="24" t="str">
        <x:v>US-007</x:v>
      </x:c>
      <x:c r="K12" s="24" t="str">
        <x:v>Kanaal 1-16 word konfigureerbaar na ’n kerninstansie gerouteer</x:v>
      </x:c>
      <x:c r="L12" s="24" t="str">
        <x:v>CHATOD-20260714-MCP-CP-MVP-001 / MCP-US-008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Backlog</x:v>
      </x:c>
      <x:c r="G13" s="24" t="str">
        <x:v>Sprint 2</x:v>
      </x:c>
      <x:c r="H13" s="24" t="str">
        <x:v>MVP</x:v>
      </x:c>
      <x:c r="I13" s="65" t="n">
        <x:v>5</x:v>
      </x:c>
      <x:c r="J13" s="24" t="str">
        <x:v>US-007</x:v>
      </x:c>
      <x:c r="K13" s="24" t="str">
        <x:v>Velocity nul sluit note; geen hangende stem ná All Notes Off nie</x:v>
      </x:c>
      <x:c r="L13" s="24" t="str">
        <x:v>CHATOD-20260714-MCP-CP-MVP-001 / MCP-US-009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Backlog</x:v>
      </x:c>
      <x:c r="G14" s="24" t="str">
        <x:v>Sprint 2</x:v>
      </x:c>
      <x:c r="H14" s="24" t="str">
        <x:v>MVP</x:v>
      </x:c>
      <x:c r="I14" s="65" t="n">
        <x:v>5</x:v>
      </x:c>
      <x:c r="J14" s="24" t="str">
        <x:v>US-007</x:v>
      </x:c>
      <x:c r="K14" s="24" t="str">
        <x:v>Bend en vibrato word hoorbaar en diagnosties gemeet</x:v>
      </x:c>
      <x:c r="L14" s="24" t="str">
        <x:v>CHATOD-20260714-MCP-CP-MVP-001 / MCP-US-010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US-006, US-014</x:v>
      </x:c>
      <x:c r="K21" s="24" t="str">
        <x:v>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US-015, US-017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Runtime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Wi-Fi begin buite boot en gee ’n duidelike offline-modus</x:v>
      </x:c>
      <x:c r="L27" s="24" t="str">
        <x:v>CHATOD-20260714-MCP-CP-MVP-001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plaaslike kliënt kan status lees en veilige parameters verander</x:v>
      </x:c>
      <x:c r="L28" s="24" t="str">
        <x:v>CHATOD-20260714-MCP-CP-MVP-001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Vertroude-LAN-grens, sessielimiet en herstelpad is getoets</x:v>
      </x:c>
      <x:c r="L31" s="24" t="str">
        <x:v>CHATOD-20260714-MCP-CP-MVP-001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Backlog</x:v>
      </x:c>
      <x:c r="G55" s="24" t="str">
        <x:v>Release train</x:v>
      </x:c>
      <x:c r="H55" s="24" t="str">
        <x:v>MVP</x:v>
      </x:c>
      <x:c r="I55" s="65" t="n">
        <x:v>5</x:v>
      </x:c>
      <x:c r="J55" s="24" t="str">
        <x:v>US-003, US-015</x:v>
      </x:c>
      <x:c r="K55" s="24" t="str">
        <x:v>Connection, deploy en execution proof plus USB-MIDI en klankmeetstappe lewer 'n geredigeerde naspeurbare verslag</x:v>
      </x:c>
      <x:c r="L55" s="24" t="str">
        <x:v>CHATOD-20260714-MCP-CP-MVP-001 / MCP-US-051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Should</x:v>
      </x:c>
      <x:c r="F56" s="24" t="str">
        <x:v>Backlog</x:v>
      </x:c>
      <x:c r="G56" s="24" t="str">
        <x:v>Release train</x:v>
      </x:c>
      <x:c r="H56" s="24" t="str">
        <x:v>Later</x:v>
      </x:c>
      <x:c r="I56" s="65" t="n">
        <x:v>8</x:v>
      </x:c>
      <x:c r="J56" s="24" t="str">
        <x:v>US-004</x:v>
      </x:c>
      <x:c r="K56" s="24" t="str">
        <x:v>’n tweede CircuitPython-mikrobeheerder werk via ’n profiel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4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04f2338ed64c8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COUNTIF('Backlog'!$B$5:$B$65,A5)</x:f>
        <x:v>5</x:v>
      </x:c>
      <x:c r="D5" s="64" t="n">
        <x:f>COUNTIFS('Backlog'!$B$5:$B$65,A5,'Backlog'!$E$5:$E$65,"Must")</x:f>
        <x:v>4</x:v>
      </x:c>
      <x:c r="E5" s="64" t="n">
        <x:f>COUNTIFS('Backlog'!$B$5:$B$65,A5,'Backlog'!$F$5:$F$65,"Done")</x:f>
        <x:v>2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COUNTIF('Backlog'!$B$5:$B$65,A6)</x:f>
        <x:v>9</x:v>
      </x:c>
      <x:c r="D6" s="65" t="n">
        <x:f>COUNTIFS('Backlog'!$B$5:$B$65,A6,'Backlog'!$E$5:$E$65,"Must")</x:f>
        <x:v>9</x:v>
      </x:c>
      <x:c r="E6" s="65" t="n">
        <x:f>COUNTIFS('Backlog'!$B$5:$B$65,A6,'Backlog'!$F$5:$F$65,"Done")</x:f>
        <x:v>0</x:v>
      </x:c>
      <x:c r="F6" s="24" t="str">
        <x:v>USB-MIDI, guitar slides, kontroles en interne/eksterne klok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COUNTIF('Backlog'!$B$5:$B$65,A7)</x:f>
        <x:v>8</x:v>
      </x:c>
      <x:c r="D7" s="65" t="n">
        <x:f>COUNTIFS('Backlog'!$B$5:$B$65,A7,'Backlog'!$E$5:$E$65,"Must")</x:f>
        <x:v>8</x:v>
      </x:c>
      <x:c r="E7" s="65" t="n">
        <x:f>COUNTIFS('Backlog'!$B$5:$B$65,A7,'Backlog'!$F$5:$F$65,"Done")</x:f>
        <x:v>0</x:v>
      </x:c>
      <x:c r="F7" s="24" t="str">
        <x:v>MAX98357 mono eerste,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COUNTIF('Backlog'!$B$5:$B$65,A8)</x:f>
        <x:v>6</x:v>
      </x:c>
      <x:c r="D8" s="65" t="n">
        <x:f>COUNTIFS('Backlog'!$B$5:$B$65,A8,'Backlog'!$E$5:$E$65,"Must")</x:f>
        <x:v>6</x:v>
      </x:c>
      <x:c r="E8" s="65" t="n">
        <x:f>COUNTIFS('Backlog'!$B$5:$B$65,A8,'Backlog'!$F$5:$F$65,"Done")</x:f>
        <x:v>0</x:v>
      </x:c>
      <x:c r="F8" s="24" t="str">
        <x:v>Plaaslike webbeheer en eenvoudige performance tools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COUNTIF('Backlog'!$B$5:$B$65,A9)</x:f>
        <x:v>6</x:v>
      </x:c>
      <x:c r="D9" s="65" t="n">
        <x:f>COUNTIFS('Backlog'!$B$5:$B$65,A9,'Backlog'!$E$5:$E$65,"Must")</x:f>
        <x:v>1</x:v>
      </x:c>
      <x:c r="E9" s="65" t="n">
        <x:f>COUNTIFS('Backlog'!$B$5:$B$65,A9,'Backlog'!$F$5:$F$65,"Done")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COUNTIF('Backlog'!$B$5:$B$65,A10)</x:f>
        <x:v>10</x:v>
      </x:c>
      <x:c r="D10" s="65" t="n">
        <x:f>COUNTIFS('Backlog'!$B$5:$B$65,A10,'Backlog'!$E$5:$E$65,"Must")</x:f>
        <x:v>5</x:v>
      </x:c>
      <x:c r="E10" s="65" t="n">
        <x:f>COUNTIFS('Backlog'!$B$5:$B$65,A10,'Backlog'!$F$5:$F$65,"Done")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COUNTIF('Backlog'!$B$5:$B$65,A11)</x:f>
        <x:v>7</x:v>
      </x:c>
      <x:c r="D11" s="65" t="n">
        <x:f>COUNTIFS('Backlog'!$B$5:$B$65,A11,'Backlog'!$E$5:$E$65,"Must")</x:f>
        <x:v>3</x:v>
      </x:c>
      <x:c r="E11" s="65" t="n">
        <x:f>COUNTIFS('Backlog'!$B$5:$B$65,A11,'Backlog'!$F$5:$F$65,"Done")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COUNTIF('Backlog'!$B$5:$B$65,A12)</x:f>
        <x:v>10</x:v>
      </x:c>
      <x:c r="D12" s="66" t="n">
        <x:f>COUNTIFS('Backlog'!$B$5:$B$65,A12,'Backlog'!$E$5:$E$65,"Must")</x:f>
        <x:v>8</x:v>
      </x:c>
      <x:c r="E12" s="66" t="n">
        <x:f>COUNTIFS('Backlog'!$B$5:$B$65,A12,'Backlog'!$F$5:$F$65,"Done")</x:f>
        <x:v>0</x:v>
      </x:c>
      <x:c r="F12" s="25" t="str">
        <x:v>Host/HIL,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32f3f5c6ad854c2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22 aktiewe risiko's; hoe risiko's word vroeg sigbaar gemaak en geen demo-status verberg 'n blocker nie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Capability profile, MAX98357 HIL en PWM fallback</x:v>
      </x:c>
      <x:c r="G9" s="24" t="str">
        <x:v>Open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0" customHeight="1">
      <x:c r="A26" t="str">
        <x:v>R-022</x:v>
      </x:c>
      <x:c r="B26" t="str">
        <x:v>MIDI-HIL hang deur poortkonflik met Thonny of serial monitor</x:v>
      </x:c>
      <x:c r="C26" t="str">
        <x:v>Medium</x:v>
      </x:c>
      <x:c r="D26" t="str">
        <x:v>High</x:v>
      </x:c>
      <x:c r="E26" t="str">
        <x:v>QA/HIL</x:v>
      </x:c>
      <x:c r="F26" t="str">
        <x:v>Preflight lsof; een REPL-klient; timeout en herstelpad</x:v>
      </x:c>
      <x:c r="G26" t="str">
        <x:v>Open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2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43652cb5f647c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Copilot adviseer as eksterne reviewer;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  <x:row r="16" ht="38" customHeight="1">
      <x:c r="A16" t="str">
        <x:v>External Architecture Reviewer (Copilot)</x:v>
      </x:c>
      <x:c r="B16" t="str">
        <x:v>Onafhanklike ontwerp- en risiko-review</x:v>
      </x:c>
      <x:c r="C16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9889003f50674b1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USB-identiteit en runtime-inspeksie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a00e1868f7f4e23"/>
  </x:tableParts>
</x:worksheet>
</file>
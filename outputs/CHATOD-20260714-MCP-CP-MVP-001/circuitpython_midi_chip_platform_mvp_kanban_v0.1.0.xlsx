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6c66de9ebf43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d19fbb7426d49e6"/>
    <x:sheet xmlns:r="http://schemas.openxmlformats.org/officeDocument/2006/relationships" name="Backlog" sheetId="2" r:id="R3d8ccb4094e7426a"/>
    <x:sheet xmlns:r="http://schemas.openxmlformats.org/officeDocument/2006/relationships" name="Epics" sheetId="3" r:id="R4379077619f64dfa"/>
    <x:sheet xmlns:r="http://schemas.openxmlformats.org/officeDocument/2006/relationships" name="Risks" sheetId="4" r:id="Rd65e7e5093f54f4e"/>
    <x:sheet xmlns:r="http://schemas.openxmlformats.org/officeDocument/2006/relationships" name="Team RACI" sheetId="5" r:id="R72ded0b324cc43bb"/>
    <x:sheet xmlns:r="http://schemas.openxmlformats.org/officeDocument/2006/relationships" name="Sources" sheetId="6" r:id="Re84e7d5b1aa244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27855d6b5047d8" /><Relationship Type="http://schemas.openxmlformats.org/officeDocument/2006/relationships/theme" Target="/xl/theme/theme1.xml" Id="Ra4255b1505bb4808" /><Relationship Type="http://schemas.openxmlformats.org/officeDocument/2006/relationships/sharedStrings" Target="/xl/sharedStrings.xml" Id="R0e2b741763cd440a" /><Relationship Type="http://schemas.openxmlformats.org/officeDocument/2006/relationships/worksheet" Target="/xl/worksheets/sheet1.xml" Id="Rdd19fbb7426d49e6" /><Relationship Type="http://schemas.openxmlformats.org/officeDocument/2006/relationships/worksheet" Target="/xl/worksheets/sheet2.xml" Id="R3d8ccb4094e7426a" /><Relationship Type="http://schemas.openxmlformats.org/officeDocument/2006/relationships/worksheet" Target="/xl/worksheets/sheet3.xml" Id="R4379077619f64dfa" /><Relationship Type="http://schemas.openxmlformats.org/officeDocument/2006/relationships/worksheet" Target="/xl/worksheets/sheet4.xml" Id="Rd65e7e5093f54f4e" /><Relationship Type="http://schemas.openxmlformats.org/officeDocument/2006/relationships/worksheet" Target="/xl/worksheets/sheet5.xml" Id="R72ded0b324cc43bb" /><Relationship Type="http://schemas.openxmlformats.org/officeDocument/2006/relationships/worksheet" Target="/xl/worksheets/sheet6.xml" Id="Re84e7d5b1aa24452" /></Relationships>
</file>

<file path=xl/tables/table1.xml><?xml version="1.0" encoding="utf-8"?>
<x:table xmlns:x="http://schemas.openxmlformats.org/spreadsheetml/2006/main" id="1" name="BacklogTable" displayName="BacklogTable" ref="A4:L65" headerRowCount="1" totalsRowCount="0" totalsRowShown="0">
  <x:autoFilter ref="A4:L65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26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21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56ca56438944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96364ed85242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3f34a4217444c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ff325af1a47420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8f3f988567f4c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1 | v0.3.0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COUNTA('Backlog'!$A$5:$A$65)</x:f>
        <x:v>61</x:v>
      </x:c>
      <x:c r="C5" s="51"/>
      <x:c r="D5" s="56" t="str">
        <x:v>1. Veilige minimale USB-MIDI boot en herstel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COUNTIF('Backlog'!$F$5:$F$65,"Done")</x:f>
        <x:v>3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In Progress</x:v>
      </x:c>
      <x:c r="B7" s="59" t="n">
        <x:f>COUNTIF('Backlog'!$F$5:$F$65,"In Progress")</x:f>
        <x:v>1</x:v>
      </x:c>
      <x:c r="C7" s="51"/>
      <x:c r="D7" s="58" t="str">
        <x:v>3. Standalone host/DIN-transport moet sonder DAW slaag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COUNTIF('Backlog'!$E$5:$E$65,"Must")</x:f>
        <x:v>44</x:v>
      </x:c>
      <x:c r="C8" s="51"/>
      <x:c r="D8" s="60" t="str">
        <x:v>4. Twee verskillende kerne eers na een-kern-bewys en resource gate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COUNTIF('Risks'!$G$5:$G$26,"&lt;&gt;Closed")</x:f>
        <x:v>22</x:v>
      </x:c>
      <x:c r="C9" s="51"/>
      <x:c r="D9" s="51"/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RACI'!$A$5:$A$16)</x:f>
        <x:v>12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Aktiewe story: MCP-US-051 Hardware-In-The-Loop Test Runner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61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US-006, US-014</x:v>
      </x:c>
      <x:c r="K21" s="24" t="str">
        <x:v>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US-015, US-017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Runtime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Wi-Fi begin buite boot en gee ’n duidelike offline-modus</x:v>
      </x:c>
      <x:c r="L27" s="24" t="str">
        <x:v>CHATOD-20260714-MCP-CP-MVP-001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plaaslike kliënt kan status lees en veilige parameters verander</x:v>
      </x:c>
      <x:c r="L28" s="24" t="str">
        <x:v>CHATOD-20260714-MCP-CP-MVP-001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Vertroude-LAN-grens, sessielimiet en herstelpad is getoets</x:v>
      </x:c>
      <x:c r="L31" s="24" t="str">
        <x:v>CHATOD-20260714-MCP-CP-MVP-001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Progress</x:v>
      </x:c>
      <x:c r="G55" s="24" t="str">
        <x:v>Sprint 1</x:v>
      </x:c>
      <x:c r="H55" s="24" t="str">
        <x:v>In Progress/MVP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Should</x:v>
      </x:c>
      <x:c r="F56" s="24" t="str">
        <x:v>Backlog</x:v>
      </x:c>
      <x:c r="G56" s="24" t="str">
        <x:v>Release train</x:v>
      </x:c>
      <x:c r="H56" s="24" t="str">
        <x:v>Later</x:v>
      </x:c>
      <x:c r="I56" s="65" t="n">
        <x:v>8</x:v>
      </x:c>
      <x:c r="J56" s="24" t="str">
        <x:v>US-004</x:v>
      </x:c>
      <x:c r="K56" s="24" t="str">
        <x:v>’n tweede CircuitPython-mikrobeheerder werk via ’n profiel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4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56ca564389442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COUNTIF('Backlog'!$B$5:$B$65,A5)</x:f>
        <x:v>5</x:v>
      </x:c>
      <x:c r="D5" s="64" t="n">
        <x:f>COUNTIFS('Backlog'!$B$5:$B$65,A5,'Backlog'!$E$5:$E$65,"Must")</x:f>
        <x:v>4</x:v>
      </x:c>
      <x:c r="E5" s="64" t="n">
        <x:f>COUNTIFS('Backlog'!$B$5:$B$65,A5,'Backlog'!$F$5:$F$65,"Done")</x:f>
        <x:v>3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COUNTIF('Backlog'!$B$5:$B$65,A6)</x:f>
        <x:v>9</x:v>
      </x:c>
      <x:c r="D6" s="65" t="n">
        <x:f>COUNTIFS('Backlog'!$B$5:$B$65,A6,'Backlog'!$E$5:$E$65,"Must")</x:f>
        <x:v>9</x:v>
      </x:c>
      <x:c r="E6" s="65" t="n">
        <x:f>COUNTIFS('Backlog'!$B$5:$B$65,A6,'Backlog'!$F$5:$F$65,"Done")</x:f>
        <x:v>0</x:v>
      </x:c>
      <x:c r="F6" s="24" t="str">
        <x:v>USB-MIDI, guitar slides, kontroles en interne/eksterne klok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COUNTIF('Backlog'!$B$5:$B$65,A7)</x:f>
        <x:v>8</x:v>
      </x:c>
      <x:c r="D7" s="65" t="n">
        <x:f>COUNTIFS('Backlog'!$B$5:$B$65,A7,'Backlog'!$E$5:$E$65,"Must")</x:f>
        <x:v>8</x:v>
      </x:c>
      <x:c r="E7" s="65" t="n">
        <x:f>COUNTIFS('Backlog'!$B$5:$B$65,A7,'Backlog'!$F$5:$F$65,"Done")</x:f>
        <x:v>0</x:v>
      </x:c>
      <x:c r="F7" s="24" t="str">
        <x:v>MAX98357 mono eerste,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COUNTIF('Backlog'!$B$5:$B$65,A8)</x:f>
        <x:v>6</x:v>
      </x:c>
      <x:c r="D8" s="65" t="n">
        <x:f>COUNTIFS('Backlog'!$B$5:$B$65,A8,'Backlog'!$E$5:$E$65,"Must")</x:f>
        <x:v>6</x:v>
      </x:c>
      <x:c r="E8" s="65" t="n">
        <x:f>COUNTIFS('Backlog'!$B$5:$B$65,A8,'Backlog'!$F$5:$F$65,"Done")</x:f>
        <x:v>0</x:v>
      </x:c>
      <x:c r="F8" s="24" t="str">
        <x:v>Plaaslike webbeheer en eenvoudige performance tools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COUNTIF('Backlog'!$B$5:$B$65,A9)</x:f>
        <x:v>6</x:v>
      </x:c>
      <x:c r="D9" s="65" t="n">
        <x:f>COUNTIFS('Backlog'!$B$5:$B$65,A9,'Backlog'!$E$5:$E$65,"Must")</x:f>
        <x:v>1</x:v>
      </x:c>
      <x:c r="E9" s="65" t="n">
        <x:f>COUNTIFS('Backlog'!$B$5:$B$65,A9,'Backlog'!$F$5:$F$65,"Done")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COUNTIF('Backlog'!$B$5:$B$65,A10)</x:f>
        <x:v>10</x:v>
      </x:c>
      <x:c r="D10" s="65" t="n">
        <x:f>COUNTIFS('Backlog'!$B$5:$B$65,A10,'Backlog'!$E$5:$E$65,"Must")</x:f>
        <x:v>5</x:v>
      </x:c>
      <x:c r="E10" s="65" t="n">
        <x:f>COUNTIFS('Backlog'!$B$5:$B$65,A10,'Backlog'!$F$5:$F$65,"Done")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COUNTIF('Backlog'!$B$5:$B$65,A11)</x:f>
        <x:v>7</x:v>
      </x:c>
      <x:c r="D11" s="65" t="n">
        <x:f>COUNTIFS('Backlog'!$B$5:$B$65,A11,'Backlog'!$E$5:$E$65,"Must")</x:f>
        <x:v>3</x:v>
      </x:c>
      <x:c r="E11" s="65" t="n">
        <x:f>COUNTIFS('Backlog'!$B$5:$B$65,A11,'Backlog'!$F$5:$F$65,"Done")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COUNTIF('Backlog'!$B$5:$B$65,A12)</x:f>
        <x:v>10</x:v>
      </x:c>
      <x:c r="D12" s="66" t="n">
        <x:f>COUNTIFS('Backlog'!$B$5:$B$65,A12,'Backlog'!$E$5:$E$65,"Must")</x:f>
        <x:v>8</x:v>
      </x:c>
      <x:c r="E12" s="66" t="n">
        <x:f>COUNTIFS('Backlog'!$B$5:$B$65,A12,'Backlog'!$F$5:$F$65,"Done")</x:f>
        <x:v>0</x:v>
      </x:c>
      <x:c r="F12" s="25" t="str">
        <x:v>Host/HIL,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596364ed85242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22 aktiewe risiko's; hoe risiko's word vroeg sigbaar gemaak en geen demo-status verberg 'n blocker nie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profile, MAX98357 HIL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0" customHeight="1">
      <x:c r="A26" t="str">
        <x:v>R-022</x:v>
      </x:c>
      <x:c r="B26" t="str">
        <x:v>MIDI-HIL hang deur poortkonflik met Thonny of serial monitor</x:v>
      </x:c>
      <x:c r="C26" t="str">
        <x:v>Medium</x:v>
      </x:c>
      <x:c r="D26" t="str">
        <x:v>High</x:v>
      </x:c>
      <x:c r="E26" t="str">
        <x:v>QA/HIL</x:v>
      </x:c>
      <x:c r="F26" t="str">
        <x:v>Preflight lsof; een REPL-klient; timeout en herstelpad</x:v>
      </x:c>
      <x:c r="G26" t="str">
        <x:v>Open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2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f34a4217444cb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ff325af1a47420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8f3f988567f4c48"/>
  </x:tableParts>
</x:worksheet>
</file>